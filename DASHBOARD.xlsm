
<file path=[Content_Types].xml><?xml version="1.0" encoding="utf-8"?>
<Types xmlns="http://schemas.openxmlformats.org/package/2006/content-types">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6.xml" ContentType="application/vnd.openxmlformats-officedocument.drawing+xml"/>
  <Override PartName="/xl/slicers/slicer2.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workbookPr hidePivotFieldList="1" defaultThemeVersion="202300"/>
  <mc:AlternateContent xmlns:mc="http://schemas.openxmlformats.org/markup-compatibility/2006">
    <mc:Choice Requires="x15">
      <x15ac:absPath xmlns:x15ac="http://schemas.microsoft.com/office/spreadsheetml/2010/11/ac" url="C:\Users\pragya\OneDrive\Desktop\"/>
    </mc:Choice>
  </mc:AlternateContent>
  <xr:revisionPtr revIDLastSave="0" documentId="13_ncr:1_{23C184B7-009F-4750-A00B-80C599AFAEEA}" xr6:coauthVersionLast="47" xr6:coauthVersionMax="47" xr10:uidLastSave="{00000000-0000-0000-0000-000000000000}"/>
  <bookViews>
    <workbookView xWindow="-120" yWindow="-120" windowWidth="20730" windowHeight="11760" activeTab="6" xr2:uid="{227D500D-9A0B-41D6-897D-F4846FF3A3A8}"/>
  </bookViews>
  <sheets>
    <sheet name="data" sheetId="3" r:id="rId1"/>
    <sheet name="pwr" sheetId="11" r:id="rId2"/>
    <sheet name="mwr" sheetId="12" r:id="rId3"/>
    <sheet name="rwr" sheetId="13" r:id="rId4"/>
    <sheet name="catwr" sheetId="14" r:id="rId5"/>
    <sheet name="cwr" sheetId="10" r:id="rId6"/>
    <sheet name="dashboard" sheetId="15" r:id="rId7"/>
  </sheets>
  <definedNames>
    <definedName name="Slicer_Category">#N/A</definedName>
    <definedName name="Slicer_Customer">#N/A</definedName>
    <definedName name="Slicer_Months__Date">#N/A</definedName>
    <definedName name="Slicer_Product">#N/A</definedName>
    <definedName name="Slicer_Region">#N/A</definedName>
  </definedNames>
  <calcPr calcId="191029"/>
  <pivotCaches>
    <pivotCache cacheId="0" r:id="rId8"/>
  </pivotCaches>
  <extLst>
    <ext xmlns:x14="http://schemas.microsoft.com/office/spreadsheetml/2009/9/main" uri="{BBE1A952-AA13-448e-AADC-164F8A28A991}">
      <x14:slicerCaches>
        <x14:slicerCache r:id="rId9"/>
        <x14:slicerCache r:id="rId10"/>
        <x14:slicerCache r:id="rId11"/>
        <x14:slicerCache r:id="rId12"/>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2" i="15" l="1"/>
  <c r="Q2" i="15"/>
  <c r="N2" i="15"/>
  <c r="A6" i="11"/>
  <c r="I3" i="3"/>
  <c r="I4" i="3"/>
  <c r="I5" i="3"/>
  <c r="I6" i="3"/>
  <c r="I7" i="3"/>
  <c r="I8" i="3"/>
  <c r="I9" i="3"/>
  <c r="I10" i="3"/>
  <c r="I11" i="3"/>
  <c r="I12" i="3"/>
  <c r="I13" i="3"/>
  <c r="I14" i="3"/>
  <c r="I15" i="3"/>
  <c r="I16" i="3"/>
  <c r="I17" i="3"/>
  <c r="I18" i="3"/>
  <c r="I19" i="3"/>
  <c r="I20" i="3"/>
  <c r="I21" i="3"/>
  <c r="I22" i="3"/>
  <c r="I23" i="3"/>
  <c r="I24" i="3"/>
  <c r="I25" i="3"/>
  <c r="I26" i="3"/>
  <c r="I27" i="3"/>
  <c r="I28" i="3"/>
  <c r="I29" i="3"/>
  <c r="I30" i="3"/>
  <c r="I31" i="3"/>
  <c r="I32" i="3"/>
  <c r="I33" i="3"/>
  <c r="I34" i="3"/>
  <c r="I35" i="3"/>
  <c r="I36" i="3"/>
  <c r="I37" i="3"/>
  <c r="I38" i="3"/>
  <c r="I39" i="3"/>
  <c r="I40" i="3"/>
  <c r="I41" i="3"/>
  <c r="I42" i="3"/>
  <c r="I43" i="3"/>
  <c r="I44" i="3"/>
  <c r="I45" i="3"/>
  <c r="I46" i="3"/>
  <c r="I47" i="3"/>
  <c r="I48" i="3"/>
  <c r="I49" i="3"/>
  <c r="I50" i="3"/>
  <c r="I51" i="3"/>
  <c r="I52" i="3"/>
  <c r="I53" i="3"/>
  <c r="I54" i="3"/>
  <c r="I55" i="3"/>
  <c r="I56" i="3"/>
  <c r="I57" i="3"/>
  <c r="I58" i="3"/>
  <c r="I59" i="3"/>
  <c r="I60" i="3"/>
  <c r="I61" i="3"/>
  <c r="I62" i="3"/>
  <c r="I63"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97" i="3"/>
  <c r="I98" i="3"/>
  <c r="I99" i="3"/>
  <c r="I100" i="3"/>
  <c r="I101" i="3"/>
  <c r="I102" i="3"/>
  <c r="I103" i="3"/>
  <c r="I104" i="3"/>
  <c r="I105" i="3"/>
  <c r="I106" i="3"/>
  <c r="I107" i="3"/>
  <c r="I108" i="3"/>
  <c r="I109" i="3"/>
  <c r="I110" i="3"/>
  <c r="I111" i="3"/>
  <c r="I112" i="3"/>
  <c r="I113" i="3"/>
  <c r="I114" i="3"/>
  <c r="I115" i="3"/>
  <c r="I116" i="3"/>
  <c r="I117" i="3"/>
  <c r="I118" i="3"/>
  <c r="I119" i="3"/>
  <c r="I120" i="3"/>
  <c r="I121" i="3"/>
  <c r="I122" i="3"/>
  <c r="I123" i="3"/>
  <c r="I124" i="3"/>
  <c r="I125" i="3"/>
  <c r="I126" i="3"/>
  <c r="I127" i="3"/>
  <c r="I128" i="3"/>
  <c r="I129" i="3"/>
  <c r="I130" i="3"/>
  <c r="I131" i="3"/>
  <c r="I132" i="3"/>
  <c r="I133" i="3"/>
  <c r="I134" i="3"/>
  <c r="I135" i="3"/>
  <c r="I136" i="3"/>
  <c r="I137" i="3"/>
  <c r="I138" i="3"/>
  <c r="I139" i="3"/>
  <c r="I140" i="3"/>
  <c r="I141" i="3"/>
  <c r="I142" i="3"/>
  <c r="I143" i="3"/>
  <c r="I144" i="3"/>
  <c r="I145" i="3"/>
  <c r="I146" i="3"/>
  <c r="I147" i="3"/>
  <c r="I148" i="3"/>
  <c r="I149" i="3"/>
  <c r="I150" i="3"/>
  <c r="I151" i="3"/>
  <c r="I152" i="3"/>
  <c r="I153" i="3"/>
  <c r="I154" i="3"/>
  <c r="I155" i="3"/>
  <c r="I156" i="3"/>
  <c r="I157" i="3"/>
  <c r="I158" i="3"/>
  <c r="I159" i="3"/>
  <c r="I160" i="3"/>
  <c r="I161" i="3"/>
  <c r="I162" i="3"/>
  <c r="I163" i="3"/>
  <c r="I164" i="3"/>
  <c r="I165" i="3"/>
  <c r="I166" i="3"/>
  <c r="I167" i="3"/>
  <c r="I168" i="3"/>
  <c r="I169" i="3"/>
  <c r="I170" i="3"/>
  <c r="I171" i="3"/>
  <c r="I172" i="3"/>
  <c r="I173" i="3"/>
  <c r="I174" i="3"/>
  <c r="I175" i="3"/>
  <c r="I176" i="3"/>
  <c r="I177" i="3"/>
  <c r="I178" i="3"/>
  <c r="I179" i="3"/>
  <c r="I180" i="3"/>
  <c r="I181" i="3"/>
  <c r="I182" i="3"/>
  <c r="I183" i="3"/>
  <c r="I184" i="3"/>
  <c r="I185" i="3"/>
  <c r="I186" i="3"/>
  <c r="I187" i="3"/>
  <c r="I188" i="3"/>
  <c r="I189" i="3"/>
  <c r="I190" i="3"/>
  <c r="I191" i="3"/>
  <c r="I192" i="3"/>
  <c r="I193" i="3"/>
  <c r="I194" i="3"/>
  <c r="I195" i="3"/>
  <c r="I196" i="3"/>
  <c r="I197" i="3"/>
  <c r="I198" i="3"/>
  <c r="I199" i="3"/>
  <c r="I200" i="3"/>
  <c r="I201" i="3"/>
  <c r="I202" i="3"/>
  <c r="I203" i="3"/>
  <c r="I204" i="3"/>
  <c r="I205" i="3"/>
  <c r="I206" i="3"/>
  <c r="I207" i="3"/>
  <c r="I208" i="3"/>
  <c r="I209" i="3"/>
  <c r="I210" i="3"/>
  <c r="I211" i="3"/>
  <c r="I212" i="3"/>
  <c r="I213" i="3"/>
  <c r="I214" i="3"/>
  <c r="I215" i="3"/>
  <c r="I216" i="3"/>
  <c r="I217" i="3"/>
  <c r="I218" i="3"/>
  <c r="I219" i="3"/>
  <c r="I220" i="3"/>
  <c r="I221" i="3"/>
  <c r="I222" i="3"/>
  <c r="I223" i="3"/>
  <c r="I224" i="3"/>
  <c r="I225" i="3"/>
  <c r="I226" i="3"/>
  <c r="I227" i="3"/>
  <c r="I228" i="3"/>
  <c r="I229" i="3"/>
  <c r="I230" i="3"/>
  <c r="I231" i="3"/>
  <c r="I232" i="3"/>
  <c r="I233" i="3"/>
  <c r="I234" i="3"/>
  <c r="I235" i="3"/>
  <c r="I236" i="3"/>
  <c r="I237" i="3"/>
  <c r="I238" i="3"/>
  <c r="I239" i="3"/>
  <c r="I240" i="3"/>
  <c r="I241" i="3"/>
  <c r="I242" i="3"/>
  <c r="I243" i="3"/>
  <c r="I244" i="3"/>
  <c r="I245" i="3"/>
  <c r="I246" i="3"/>
  <c r="I247" i="3"/>
  <c r="I248" i="3"/>
  <c r="I249" i="3"/>
  <c r="I250" i="3"/>
  <c r="I251" i="3"/>
  <c r="I252" i="3"/>
  <c r="I253" i="3"/>
  <c r="I254" i="3"/>
  <c r="I255" i="3"/>
  <c r="I256" i="3"/>
  <c r="I257" i="3"/>
  <c r="I258" i="3"/>
  <c r="I259" i="3"/>
  <c r="I260" i="3"/>
  <c r="I261" i="3"/>
  <c r="I262" i="3"/>
  <c r="I263" i="3"/>
  <c r="I264" i="3"/>
  <c r="I265" i="3"/>
  <c r="I266" i="3"/>
  <c r="I267" i="3"/>
  <c r="I268" i="3"/>
  <c r="I269" i="3"/>
  <c r="I270" i="3"/>
  <c r="I271" i="3"/>
  <c r="I272" i="3"/>
  <c r="I273" i="3"/>
  <c r="I274" i="3"/>
  <c r="I275" i="3"/>
  <c r="I276" i="3"/>
  <c r="I277" i="3"/>
  <c r="I278" i="3"/>
  <c r="I279" i="3"/>
  <c r="I280" i="3"/>
  <c r="I281" i="3"/>
  <c r="I282" i="3"/>
  <c r="I283" i="3"/>
  <c r="I284" i="3"/>
  <c r="I285" i="3"/>
  <c r="I286" i="3"/>
  <c r="I287" i="3"/>
  <c r="I288" i="3"/>
  <c r="I289" i="3"/>
  <c r="I290" i="3"/>
  <c r="I291" i="3"/>
  <c r="I292" i="3"/>
  <c r="I293" i="3"/>
  <c r="I294" i="3"/>
  <c r="I295" i="3"/>
  <c r="I296" i="3"/>
  <c r="I297" i="3"/>
  <c r="I298" i="3"/>
  <c r="I299" i="3"/>
  <c r="I300" i="3"/>
  <c r="I301" i="3"/>
  <c r="I302" i="3"/>
  <c r="I303" i="3"/>
  <c r="I304" i="3"/>
  <c r="I305" i="3"/>
  <c r="I306" i="3"/>
  <c r="I307" i="3"/>
  <c r="I308" i="3"/>
  <c r="I309" i="3"/>
  <c r="I310" i="3"/>
  <c r="I311" i="3"/>
  <c r="I312" i="3"/>
  <c r="I313" i="3"/>
  <c r="I314" i="3"/>
  <c r="I315" i="3"/>
  <c r="I316" i="3"/>
  <c r="I317" i="3"/>
  <c r="I318" i="3"/>
  <c r="I319" i="3"/>
  <c r="I320" i="3"/>
  <c r="I321" i="3"/>
  <c r="I322" i="3"/>
  <c r="I323" i="3"/>
  <c r="I324" i="3"/>
  <c r="I325" i="3"/>
  <c r="I326" i="3"/>
  <c r="I327" i="3"/>
  <c r="I328" i="3"/>
  <c r="I329" i="3"/>
  <c r="I330" i="3"/>
  <c r="I331" i="3"/>
  <c r="I332" i="3"/>
  <c r="I333" i="3"/>
  <c r="I334" i="3"/>
  <c r="I335" i="3"/>
  <c r="I336" i="3"/>
  <c r="I337" i="3"/>
  <c r="I338" i="3"/>
  <c r="I339" i="3"/>
  <c r="I340" i="3"/>
  <c r="I341" i="3"/>
  <c r="I342" i="3"/>
  <c r="I343" i="3"/>
  <c r="I344" i="3"/>
  <c r="I345" i="3"/>
  <c r="I346" i="3"/>
  <c r="I347" i="3"/>
  <c r="I348" i="3"/>
  <c r="I349" i="3"/>
  <c r="I350" i="3"/>
  <c r="I351" i="3"/>
  <c r="I352" i="3"/>
  <c r="I353" i="3"/>
  <c r="I354" i="3"/>
  <c r="I355" i="3"/>
  <c r="I356" i="3"/>
  <c r="I357" i="3"/>
  <c r="I358" i="3"/>
  <c r="I359" i="3"/>
  <c r="I360" i="3"/>
  <c r="I361" i="3"/>
  <c r="I362" i="3"/>
  <c r="I363" i="3"/>
  <c r="I364" i="3"/>
  <c r="I365" i="3"/>
  <c r="I366" i="3"/>
  <c r="I367" i="3"/>
  <c r="I368" i="3"/>
  <c r="I369" i="3"/>
  <c r="I370" i="3"/>
  <c r="I371" i="3"/>
  <c r="I372" i="3"/>
  <c r="I373" i="3"/>
  <c r="I374" i="3"/>
  <c r="I375" i="3"/>
  <c r="I376" i="3"/>
  <c r="I377" i="3"/>
  <c r="I378" i="3"/>
  <c r="I379" i="3"/>
  <c r="I380" i="3"/>
  <c r="I381" i="3"/>
  <c r="I382" i="3"/>
  <c r="I383" i="3"/>
  <c r="I384" i="3"/>
  <c r="I385" i="3"/>
  <c r="I386" i="3"/>
  <c r="I387" i="3"/>
  <c r="I388" i="3"/>
  <c r="I389" i="3"/>
  <c r="I390" i="3"/>
  <c r="I391" i="3"/>
  <c r="I392" i="3"/>
  <c r="I393" i="3"/>
  <c r="I394" i="3"/>
  <c r="I395" i="3"/>
  <c r="I396" i="3"/>
  <c r="I397" i="3"/>
  <c r="I398" i="3"/>
  <c r="I399" i="3"/>
  <c r="I400" i="3"/>
  <c r="I401" i="3"/>
  <c r="I402" i="3"/>
  <c r="I403" i="3"/>
  <c r="I404" i="3"/>
  <c r="I405" i="3"/>
  <c r="I406" i="3"/>
  <c r="I407" i="3"/>
  <c r="I408" i="3"/>
  <c r="I409" i="3"/>
  <c r="I410" i="3"/>
  <c r="I411" i="3"/>
  <c r="I412" i="3"/>
  <c r="I413" i="3"/>
  <c r="I414" i="3"/>
  <c r="I415" i="3"/>
  <c r="I416" i="3"/>
  <c r="I417" i="3"/>
  <c r="I418" i="3"/>
  <c r="I419" i="3"/>
  <c r="I420" i="3"/>
  <c r="I421" i="3"/>
  <c r="I422" i="3"/>
  <c r="I423" i="3"/>
  <c r="I424" i="3"/>
  <c r="I425" i="3"/>
  <c r="I426" i="3"/>
  <c r="I427" i="3"/>
  <c r="I428" i="3"/>
  <c r="I429" i="3"/>
  <c r="I430" i="3"/>
  <c r="I431" i="3"/>
  <c r="I432" i="3"/>
  <c r="I433" i="3"/>
  <c r="I434" i="3"/>
  <c r="I435" i="3"/>
  <c r="I436" i="3"/>
  <c r="I437" i="3"/>
  <c r="I438" i="3"/>
  <c r="I439" i="3"/>
  <c r="I440" i="3"/>
  <c r="I441" i="3"/>
  <c r="I442" i="3"/>
  <c r="I443" i="3"/>
  <c r="I444" i="3"/>
  <c r="I445" i="3"/>
  <c r="I446" i="3"/>
  <c r="I447" i="3"/>
  <c r="I448" i="3"/>
  <c r="I449" i="3"/>
  <c r="I450" i="3"/>
  <c r="I451" i="3"/>
  <c r="I452" i="3"/>
  <c r="I453" i="3"/>
  <c r="I454" i="3"/>
  <c r="I455" i="3"/>
  <c r="I456" i="3"/>
  <c r="I457" i="3"/>
  <c r="I458" i="3"/>
  <c r="I459" i="3"/>
  <c r="I460" i="3"/>
  <c r="I461" i="3"/>
  <c r="I462" i="3"/>
  <c r="I463" i="3"/>
  <c r="I464" i="3"/>
  <c r="I465" i="3"/>
  <c r="I466" i="3"/>
  <c r="I467" i="3"/>
  <c r="I468" i="3"/>
  <c r="I469" i="3"/>
  <c r="I470" i="3"/>
  <c r="I471" i="3"/>
  <c r="I472" i="3"/>
  <c r="I473" i="3"/>
  <c r="I474" i="3"/>
  <c r="I475" i="3"/>
  <c r="I476" i="3"/>
  <c r="I477" i="3"/>
  <c r="I478" i="3"/>
  <c r="I479" i="3"/>
  <c r="I480" i="3"/>
  <c r="I481" i="3"/>
  <c r="I482" i="3"/>
  <c r="I483" i="3"/>
  <c r="I484" i="3"/>
  <c r="I485" i="3"/>
  <c r="I486" i="3"/>
  <c r="I487" i="3"/>
  <c r="I488" i="3"/>
  <c r="I489" i="3"/>
  <c r="I490" i="3"/>
  <c r="I491" i="3"/>
  <c r="I492" i="3"/>
  <c r="I493" i="3"/>
  <c r="I494" i="3"/>
  <c r="I495" i="3"/>
  <c r="I496" i="3"/>
  <c r="I497" i="3"/>
  <c r="I498" i="3"/>
  <c r="I499" i="3"/>
  <c r="I500" i="3"/>
  <c r="I501" i="3"/>
  <c r="I502" i="3"/>
  <c r="I503" i="3"/>
  <c r="I504" i="3"/>
  <c r="I505" i="3"/>
  <c r="I506" i="3"/>
  <c r="I507" i="3"/>
  <c r="I508" i="3"/>
  <c r="I509" i="3"/>
  <c r="I510" i="3"/>
  <c r="I511" i="3"/>
  <c r="I512" i="3"/>
  <c r="I513" i="3"/>
  <c r="I514" i="3"/>
  <c r="I515" i="3"/>
  <c r="I516" i="3"/>
  <c r="I517" i="3"/>
  <c r="I518" i="3"/>
  <c r="I519" i="3"/>
  <c r="I520" i="3"/>
  <c r="I521" i="3"/>
  <c r="I522" i="3"/>
  <c r="I523" i="3"/>
  <c r="I524" i="3"/>
  <c r="I525" i="3"/>
  <c r="I526" i="3"/>
  <c r="I527" i="3"/>
  <c r="I528" i="3"/>
  <c r="I529" i="3"/>
  <c r="I530" i="3"/>
  <c r="I531" i="3"/>
  <c r="I532" i="3"/>
  <c r="I533" i="3"/>
  <c r="I534" i="3"/>
  <c r="I535" i="3"/>
  <c r="I536" i="3"/>
  <c r="I537" i="3"/>
  <c r="I538" i="3"/>
  <c r="I539" i="3"/>
  <c r="I540" i="3"/>
  <c r="I541" i="3"/>
  <c r="I542" i="3"/>
  <c r="I543" i="3"/>
  <c r="I544" i="3"/>
  <c r="I545" i="3"/>
  <c r="I546" i="3"/>
  <c r="I547" i="3"/>
  <c r="I548" i="3"/>
  <c r="I549" i="3"/>
  <c r="I550" i="3"/>
  <c r="I551" i="3"/>
  <c r="I552" i="3"/>
  <c r="I553" i="3"/>
  <c r="I554" i="3"/>
  <c r="I555" i="3"/>
  <c r="I556" i="3"/>
  <c r="I557" i="3"/>
  <c r="I558" i="3"/>
  <c r="I559" i="3"/>
  <c r="I560" i="3"/>
  <c r="I561" i="3"/>
  <c r="I562" i="3"/>
  <c r="I563" i="3"/>
  <c r="I564" i="3"/>
  <c r="I565" i="3"/>
  <c r="I566" i="3"/>
  <c r="I567" i="3"/>
  <c r="I568" i="3"/>
  <c r="I569" i="3"/>
  <c r="I570" i="3"/>
  <c r="I571" i="3"/>
  <c r="I572" i="3"/>
  <c r="I573" i="3"/>
  <c r="I574" i="3"/>
  <c r="I575" i="3"/>
  <c r="I576" i="3"/>
  <c r="I577" i="3"/>
  <c r="I578" i="3"/>
  <c r="I579" i="3"/>
  <c r="I580" i="3"/>
  <c r="I581" i="3"/>
  <c r="I582" i="3"/>
  <c r="I583" i="3"/>
  <c r="I584" i="3"/>
  <c r="I585" i="3"/>
  <c r="I586" i="3"/>
  <c r="I587" i="3"/>
  <c r="I588" i="3"/>
  <c r="I589" i="3"/>
  <c r="I590" i="3"/>
  <c r="I591" i="3"/>
  <c r="I592" i="3"/>
  <c r="I593" i="3"/>
  <c r="I594" i="3"/>
  <c r="I595" i="3"/>
  <c r="I596" i="3"/>
  <c r="I597" i="3"/>
  <c r="I598" i="3"/>
  <c r="I599" i="3"/>
  <c r="I600" i="3"/>
  <c r="I601" i="3"/>
  <c r="I602" i="3"/>
  <c r="I603" i="3"/>
  <c r="I604" i="3"/>
  <c r="I605" i="3"/>
  <c r="I606" i="3"/>
  <c r="I607" i="3"/>
  <c r="I608" i="3"/>
  <c r="I609" i="3"/>
  <c r="I610" i="3"/>
  <c r="I611" i="3"/>
  <c r="I612" i="3"/>
  <c r="I613" i="3"/>
  <c r="I614" i="3"/>
  <c r="I615" i="3"/>
  <c r="I616" i="3"/>
  <c r="I617" i="3"/>
  <c r="I618" i="3"/>
  <c r="I619" i="3"/>
  <c r="I620" i="3"/>
  <c r="I621" i="3"/>
  <c r="I622" i="3"/>
  <c r="I623" i="3"/>
  <c r="I624" i="3"/>
  <c r="I625" i="3"/>
  <c r="I626" i="3"/>
  <c r="I627" i="3"/>
  <c r="I628" i="3"/>
  <c r="I629" i="3"/>
  <c r="I630" i="3"/>
  <c r="I631" i="3"/>
  <c r="I632" i="3"/>
  <c r="I633" i="3"/>
  <c r="I634" i="3"/>
  <c r="I635" i="3"/>
  <c r="I636" i="3"/>
  <c r="I637" i="3"/>
  <c r="I638" i="3"/>
  <c r="I639" i="3"/>
  <c r="I640" i="3"/>
  <c r="I641" i="3"/>
  <c r="I642" i="3"/>
  <c r="I643" i="3"/>
  <c r="I644" i="3"/>
  <c r="I645" i="3"/>
  <c r="I646" i="3"/>
  <c r="I647" i="3"/>
  <c r="I648" i="3"/>
  <c r="I649" i="3"/>
  <c r="I650" i="3"/>
  <c r="I651" i="3"/>
  <c r="I2" i="3"/>
  <c r="H2" i="15"/>
</calcChain>
</file>

<file path=xl/sharedStrings.xml><?xml version="1.0" encoding="utf-8"?>
<sst xmlns="http://schemas.openxmlformats.org/spreadsheetml/2006/main" count="2657" uniqueCount="46">
  <si>
    <t>Order_ID</t>
  </si>
  <si>
    <t>Date</t>
  </si>
  <si>
    <t>Customer</t>
  </si>
  <si>
    <t>Product</t>
  </si>
  <si>
    <t>Category</t>
  </si>
  <si>
    <t>Qty</t>
  </si>
  <si>
    <t>Unit_Price</t>
  </si>
  <si>
    <t>Region</t>
  </si>
  <si>
    <t>Sales_Amount</t>
  </si>
  <si>
    <t>Neha</t>
  </si>
  <si>
    <t>Mouse</t>
  </si>
  <si>
    <t>Electronics</t>
  </si>
  <si>
    <t>South</t>
  </si>
  <si>
    <t>Sneha</t>
  </si>
  <si>
    <t>North</t>
  </si>
  <si>
    <t>Arjun</t>
  </si>
  <si>
    <t>Vikas</t>
  </si>
  <si>
    <t>Monitor</t>
  </si>
  <si>
    <t>East</t>
  </si>
  <si>
    <t>Rahul</t>
  </si>
  <si>
    <t>Keyboard</t>
  </si>
  <si>
    <t>Rohit</t>
  </si>
  <si>
    <t>Pooja</t>
  </si>
  <si>
    <t>Chair</t>
  </si>
  <si>
    <t>Furniture</t>
  </si>
  <si>
    <t>Anjali</t>
  </si>
  <si>
    <t>Karan</t>
  </si>
  <si>
    <t>Desk</t>
  </si>
  <si>
    <t>West</t>
  </si>
  <si>
    <t>Priya</t>
  </si>
  <si>
    <t>Laptop</t>
  </si>
  <si>
    <t>Printer</t>
  </si>
  <si>
    <t>Headphones</t>
  </si>
  <si>
    <t>Amit</t>
  </si>
  <si>
    <t>Saurabh</t>
  </si>
  <si>
    <t>Sum of Sales_Amount</t>
  </si>
  <si>
    <t>Grand Total</t>
  </si>
  <si>
    <t>Row Labels</t>
  </si>
  <si>
    <t>Jan</t>
  </si>
  <si>
    <t>Total Revenue</t>
  </si>
  <si>
    <t/>
  </si>
  <si>
    <t>Total Oder</t>
  </si>
  <si>
    <t>Total Customers</t>
  </si>
  <si>
    <t>Average Order Value</t>
  </si>
  <si>
    <t>BUSSINESS INSIGHTS</t>
  </si>
  <si>
    <t xml:space="preserve">ELECTRONICS SHARE 82% OF TOTAL REVENUE TO THIS COMPANY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</si>
</sst>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Aptos Narrow"/>
      <family val="2"/>
      <scheme val="minor"/>
    </font>
    <font>
      <b/>
      <sz val="11"/>
      <color theme="1"/>
      <name val="Times New Roman"/>
      <family val="1"/>
    </font>
    <font>
      <sz val="18"/>
      <color theme="1"/>
      <name val="Aptos Narrow"/>
      <family val="2"/>
      <scheme val="minor"/>
    </font>
    <font>
      <sz val="36"/>
      <color theme="1"/>
      <name val="Aptos Narrow"/>
      <family val="2"/>
      <scheme val="minor"/>
    </font>
    <font>
      <b/>
      <sz val="24"/>
      <color theme="1"/>
      <name val="Times New Roman"/>
      <family val="1"/>
    </font>
  </fonts>
  <fills count="7">
    <fill>
      <patternFill patternType="none"/>
    </fill>
    <fill>
      <patternFill patternType="gray125"/>
    </fill>
    <fill>
      <patternFill patternType="solid">
        <fgColor theme="5" tint="0.79998168889431442"/>
        <bgColor indexed="64"/>
      </patternFill>
    </fill>
    <fill>
      <patternFill patternType="solid">
        <fgColor theme="0" tint="-4.9989318521683403E-2"/>
        <bgColor indexed="64"/>
      </patternFill>
    </fill>
    <fill>
      <patternFill patternType="solid">
        <fgColor theme="5" tint="0.39997558519241921"/>
        <bgColor indexed="64"/>
      </patternFill>
    </fill>
    <fill>
      <patternFill patternType="solid">
        <fgColor theme="5"/>
        <bgColor indexed="64"/>
      </patternFill>
    </fill>
    <fill>
      <patternFill patternType="solid">
        <fgColor theme="5" tint="0.59999389629810485"/>
        <bgColor indexed="64"/>
      </patternFill>
    </fill>
  </fills>
  <borders count="10">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medium">
        <color indexed="64"/>
      </bottom>
      <diagonal/>
    </border>
  </borders>
  <cellStyleXfs count="1">
    <xf numFmtId="0" fontId="0" fillId="0" borderId="0"/>
  </cellStyleXfs>
  <cellXfs count="33">
    <xf numFmtId="0" fontId="0" fillId="0" borderId="0" xfId="0"/>
    <xf numFmtId="14" fontId="0" fillId="0" borderId="0" xfId="0" applyNumberFormat="1"/>
    <xf numFmtId="0" fontId="0" fillId="0" borderId="0" xfId="0" pivotButton="1"/>
    <xf numFmtId="0" fontId="0" fillId="0" borderId="0" xfId="0" applyAlignment="1">
      <alignment horizontal="left"/>
    </xf>
    <xf numFmtId="0" fontId="0" fillId="2" borderId="0" xfId="0" applyFill="1"/>
    <xf numFmtId="0" fontId="0" fillId="4" borderId="0" xfId="0" applyFill="1"/>
    <xf numFmtId="0" fontId="3" fillId="4" borderId="0" xfId="0" applyFont="1" applyFill="1" applyAlignment="1">
      <alignment horizontal="center"/>
    </xf>
    <xf numFmtId="0" fontId="3" fillId="4" borderId="3" xfId="0" applyFont="1" applyFill="1" applyBorder="1" applyAlignment="1">
      <alignment horizontal="center"/>
    </xf>
    <xf numFmtId="0" fontId="1" fillId="4" borderId="0" xfId="0" applyFont="1" applyFill="1" applyAlignment="1">
      <alignment horizontal="center"/>
    </xf>
    <xf numFmtId="0" fontId="2" fillId="5" borderId="1" xfId="0" applyFont="1" applyFill="1" applyBorder="1" applyAlignment="1">
      <alignment horizontal="center"/>
    </xf>
    <xf numFmtId="0" fontId="2" fillId="5" borderId="2" xfId="0" applyFont="1" applyFill="1" applyBorder="1" applyAlignment="1">
      <alignment horizontal="center"/>
    </xf>
    <xf numFmtId="0" fontId="2" fillId="5" borderId="5" xfId="0" applyFont="1" applyFill="1" applyBorder="1" applyAlignment="1">
      <alignment horizontal="center"/>
    </xf>
    <xf numFmtId="0" fontId="2" fillId="5" borderId="6" xfId="0" applyFont="1" applyFill="1" applyBorder="1" applyAlignment="1">
      <alignment horizontal="center"/>
    </xf>
    <xf numFmtId="0" fontId="0" fillId="0" borderId="0" xfId="0"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1" xfId="0" applyFill="1" applyBorder="1" applyAlignment="1">
      <alignment horizontal="center"/>
    </xf>
    <xf numFmtId="0" fontId="0" fillId="3" borderId="2" xfId="0" applyFill="1" applyBorder="1" applyAlignment="1">
      <alignment horizontal="center"/>
    </xf>
    <xf numFmtId="0" fontId="0" fillId="0" borderId="0" xfId="0" applyNumberFormat="1"/>
    <xf numFmtId="0" fontId="0" fillId="4" borderId="0" xfId="0" applyFill="1" applyAlignment="1">
      <alignment horizontal="center"/>
    </xf>
    <xf numFmtId="0" fontId="0" fillId="2" borderId="9" xfId="0" applyFill="1" applyBorder="1" applyAlignment="1">
      <alignment horizontal="center"/>
    </xf>
    <xf numFmtId="0" fontId="0" fillId="2" borderId="8" xfId="0" applyFill="1" applyBorder="1" applyAlignment="1">
      <alignment horizontal="left"/>
    </xf>
    <xf numFmtId="0" fontId="4" fillId="6" borderId="1" xfId="0" applyFont="1" applyFill="1" applyBorder="1" applyAlignment="1">
      <alignment horizontal="center"/>
    </xf>
    <xf numFmtId="0" fontId="0" fillId="6" borderId="7" xfId="0" applyFill="1" applyBorder="1" applyAlignment="1">
      <alignment horizontal="center"/>
    </xf>
    <xf numFmtId="0" fontId="0" fillId="6" borderId="2" xfId="0" applyFill="1" applyBorder="1" applyAlignment="1">
      <alignment horizontal="center"/>
    </xf>
    <xf numFmtId="0" fontId="0" fillId="6" borderId="3" xfId="0" applyFill="1" applyBorder="1" applyAlignment="1">
      <alignment horizontal="center"/>
    </xf>
    <xf numFmtId="0" fontId="0" fillId="6" borderId="0" xfId="0" applyFill="1" applyBorder="1" applyAlignment="1">
      <alignment horizontal="center"/>
    </xf>
    <xf numFmtId="0" fontId="0" fillId="6" borderId="4" xfId="0" applyFill="1" applyBorder="1" applyAlignment="1">
      <alignment horizontal="center"/>
    </xf>
    <xf numFmtId="0" fontId="0" fillId="6" borderId="5" xfId="0" applyFill="1" applyBorder="1" applyAlignment="1">
      <alignment horizontal="center"/>
    </xf>
    <xf numFmtId="0" fontId="0" fillId="6" borderId="8" xfId="0" applyFill="1" applyBorder="1" applyAlignment="1">
      <alignment horizontal="center"/>
    </xf>
    <xf numFmtId="0" fontId="0" fillId="6" borderId="6" xfId="0" applyFill="1" applyBorder="1" applyAlignment="1">
      <alignment horizontal="center"/>
    </xf>
  </cellXfs>
  <cellStyles count="1">
    <cellStyle name="Normal" xfId="0" builtinId="0"/>
  </cellStyles>
  <dxfs count="2">
    <dxf>
      <numFmt numFmtId="19" formatCode="dd/mm/yyyy"/>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07/relationships/slicerCache" Target="slicerCaches/slicerCache5.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4.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[DASHBOARD.xlsm]pwr!PivotTable2</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pwr!$B$8</c:f>
              <c:strCache>
                <c:ptCount val="1"/>
                <c:pt idx="0">
                  <c:v>Total</c:v>
                </c:pt>
              </c:strCache>
            </c:strRef>
          </c:tx>
          <c:spPr>
            <a:solidFill>
              <a:schemeClr val="accent1"/>
            </a:solidFill>
            <a:ln>
              <a:noFill/>
            </a:ln>
            <a:effectLst/>
          </c:spPr>
          <c:invertIfNegative val="0"/>
          <c:cat>
            <c:strRef>
              <c:f>pwr!$A$9:$A$17</c:f>
              <c:strCache>
                <c:ptCount val="8"/>
                <c:pt idx="0">
                  <c:v>Laptop</c:v>
                </c:pt>
                <c:pt idx="1">
                  <c:v>Monitor</c:v>
                </c:pt>
                <c:pt idx="2">
                  <c:v>Desk</c:v>
                </c:pt>
                <c:pt idx="3">
                  <c:v>Printer</c:v>
                </c:pt>
                <c:pt idx="4">
                  <c:v>Chair</c:v>
                </c:pt>
                <c:pt idx="5">
                  <c:v>Keyboard</c:v>
                </c:pt>
                <c:pt idx="6">
                  <c:v>Headphones</c:v>
                </c:pt>
                <c:pt idx="7">
                  <c:v>Mouse</c:v>
                </c:pt>
              </c:strCache>
            </c:strRef>
          </c:cat>
          <c:val>
            <c:numRef>
              <c:f>pwr!$B$9:$B$17</c:f>
              <c:numCache>
                <c:formatCode>General</c:formatCode>
                <c:ptCount val="8"/>
                <c:pt idx="0">
                  <c:v>898637.80999999994</c:v>
                </c:pt>
                <c:pt idx="1">
                  <c:v>271182.12</c:v>
                </c:pt>
                <c:pt idx="2">
                  <c:v>258272.78999999998</c:v>
                </c:pt>
                <c:pt idx="3">
                  <c:v>246520.36</c:v>
                </c:pt>
                <c:pt idx="4">
                  <c:v>103849.86000000002</c:v>
                </c:pt>
                <c:pt idx="5">
                  <c:v>45340.78</c:v>
                </c:pt>
                <c:pt idx="6">
                  <c:v>26393.43</c:v>
                </c:pt>
                <c:pt idx="7">
                  <c:v>5266.36</c:v>
                </c:pt>
              </c:numCache>
            </c:numRef>
          </c:val>
          <c:extLst>
            <c:ext xmlns:c16="http://schemas.microsoft.com/office/drawing/2014/chart" uri="{C3380CC4-5D6E-409C-BE32-E72D297353CC}">
              <c16:uniqueId val="{00000000-121B-4346-A3DD-0FDC69A7320D}"/>
            </c:ext>
          </c:extLst>
        </c:ser>
        <c:dLbls>
          <c:showLegendKey val="0"/>
          <c:showVal val="0"/>
          <c:showCatName val="0"/>
          <c:showSerName val="0"/>
          <c:showPercent val="0"/>
          <c:showBubbleSize val="0"/>
        </c:dLbls>
        <c:gapWidth val="182"/>
        <c:axId val="2083869359"/>
        <c:axId val="2083869839"/>
      </c:barChart>
      <c:catAx>
        <c:axId val="208386935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3869839"/>
        <c:crosses val="autoZero"/>
        <c:auto val="1"/>
        <c:lblAlgn val="ctr"/>
        <c:lblOffset val="100"/>
        <c:noMultiLvlLbl val="0"/>
      </c:catAx>
      <c:valAx>
        <c:axId val="208386983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386935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[DASHBOARD.xlsm]mwr!PivotTable3</c:name>
    <c:fmtId val="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mwr!$B$3</c:f>
              <c:strCache>
                <c:ptCount val="1"/>
                <c:pt idx="0">
                  <c:v>Total</c:v>
                </c:pt>
              </c:strCache>
            </c:strRef>
          </c:tx>
          <c:spPr>
            <a:ln w="28575" cap="rnd">
              <a:solidFill>
                <a:schemeClr val="accent1"/>
              </a:solidFill>
              <a:round/>
            </a:ln>
            <a:effectLst/>
          </c:spPr>
          <c:marker>
            <c:symbol val="none"/>
          </c:marker>
          <c:cat>
            <c:strRef>
              <c:f>mwr!$A$4:$A$5</c:f>
              <c:strCache>
                <c:ptCount val="1"/>
                <c:pt idx="0">
                  <c:v>Jan</c:v>
                </c:pt>
              </c:strCache>
            </c:strRef>
          </c:cat>
          <c:val>
            <c:numRef>
              <c:f>mwr!$B$4:$B$5</c:f>
              <c:numCache>
                <c:formatCode>General</c:formatCode>
                <c:ptCount val="1"/>
                <c:pt idx="0">
                  <c:v>1855463.5099999995</c:v>
                </c:pt>
              </c:numCache>
            </c:numRef>
          </c:val>
          <c:smooth val="0"/>
          <c:extLst>
            <c:ext xmlns:c16="http://schemas.microsoft.com/office/drawing/2014/chart" uri="{C3380CC4-5D6E-409C-BE32-E72D297353CC}">
              <c16:uniqueId val="{00000000-9A65-43DF-B923-380ED3FEAE09}"/>
            </c:ext>
          </c:extLst>
        </c:ser>
        <c:dLbls>
          <c:showLegendKey val="0"/>
          <c:showVal val="0"/>
          <c:showCatName val="0"/>
          <c:showSerName val="0"/>
          <c:showPercent val="0"/>
          <c:showBubbleSize val="0"/>
        </c:dLbls>
        <c:smooth val="0"/>
        <c:axId val="2083888079"/>
        <c:axId val="2083886639"/>
      </c:lineChart>
      <c:catAx>
        <c:axId val="20838880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3886639"/>
        <c:crosses val="autoZero"/>
        <c:auto val="1"/>
        <c:lblAlgn val="ctr"/>
        <c:lblOffset val="100"/>
        <c:noMultiLvlLbl val="0"/>
      </c:catAx>
      <c:valAx>
        <c:axId val="20838866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388807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[DASHBOARD.xlsm]rwr!PivotTable4</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rwr!$B$3</c:f>
              <c:strCache>
                <c:ptCount val="1"/>
                <c:pt idx="0">
                  <c:v>Total</c:v>
                </c:pt>
              </c:strCache>
            </c:strRef>
          </c:tx>
          <c:spPr>
            <a:solidFill>
              <a:schemeClr val="accent1"/>
            </a:solidFill>
            <a:ln>
              <a:noFill/>
            </a:ln>
            <a:effectLst/>
            <a:sp3d/>
          </c:spPr>
          <c:invertIfNegative val="0"/>
          <c:cat>
            <c:strRef>
              <c:f>rwr!$A$4:$A$8</c:f>
              <c:strCache>
                <c:ptCount val="4"/>
                <c:pt idx="0">
                  <c:v>East</c:v>
                </c:pt>
                <c:pt idx="1">
                  <c:v>North</c:v>
                </c:pt>
                <c:pt idx="2">
                  <c:v>South</c:v>
                </c:pt>
                <c:pt idx="3">
                  <c:v>West</c:v>
                </c:pt>
              </c:strCache>
            </c:strRef>
          </c:cat>
          <c:val>
            <c:numRef>
              <c:f>rwr!$B$4:$B$8</c:f>
              <c:numCache>
                <c:formatCode>General</c:formatCode>
                <c:ptCount val="4"/>
                <c:pt idx="0">
                  <c:v>583943.5</c:v>
                </c:pt>
                <c:pt idx="1">
                  <c:v>498019.81000000006</c:v>
                </c:pt>
                <c:pt idx="2">
                  <c:v>277780.36</c:v>
                </c:pt>
                <c:pt idx="3">
                  <c:v>495719.83999999997</c:v>
                </c:pt>
              </c:numCache>
            </c:numRef>
          </c:val>
          <c:extLst>
            <c:ext xmlns:c16="http://schemas.microsoft.com/office/drawing/2014/chart" uri="{C3380CC4-5D6E-409C-BE32-E72D297353CC}">
              <c16:uniqueId val="{00000000-854C-4734-858C-0B5A07D7A0BF}"/>
            </c:ext>
          </c:extLst>
        </c:ser>
        <c:dLbls>
          <c:showLegendKey val="0"/>
          <c:showVal val="0"/>
          <c:showCatName val="0"/>
          <c:showSerName val="0"/>
          <c:showPercent val="0"/>
          <c:showBubbleSize val="0"/>
        </c:dLbls>
        <c:gapWidth val="150"/>
        <c:shape val="box"/>
        <c:axId val="2083888559"/>
        <c:axId val="2083889039"/>
        <c:axId val="0"/>
      </c:bar3DChart>
      <c:catAx>
        <c:axId val="2083888559"/>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3889039"/>
        <c:crosses val="autoZero"/>
        <c:auto val="1"/>
        <c:lblAlgn val="ctr"/>
        <c:lblOffset val="100"/>
        <c:noMultiLvlLbl val="0"/>
      </c:catAx>
      <c:valAx>
        <c:axId val="20838890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388855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[DASHBOARD.xlsm]catwr!PivotTable5</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s>
    <c:plotArea>
      <c:layout/>
      <c:pieChart>
        <c:varyColors val="1"/>
        <c:ser>
          <c:idx val="0"/>
          <c:order val="0"/>
          <c:tx>
            <c:strRef>
              <c:f>catwr!$B$3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98D-4E7F-9C5E-73F6D67F1AD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98D-4E7F-9C5E-73F6D67F1AD9}"/>
              </c:ext>
            </c:extLst>
          </c:dPt>
          <c:cat>
            <c:strRef>
              <c:f>catwr!$A$4:$A$6</c:f>
              <c:strCache>
                <c:ptCount val="2"/>
                <c:pt idx="0">
                  <c:v>Electronics</c:v>
                </c:pt>
                <c:pt idx="1">
                  <c:v>Furniture</c:v>
                </c:pt>
              </c:strCache>
            </c:strRef>
          </c:cat>
          <c:val>
            <c:numRef>
              <c:f>catwr!$B$4:$B$6</c:f>
              <c:numCache>
                <c:formatCode>General</c:formatCode>
                <c:ptCount val="2"/>
                <c:pt idx="0">
                  <c:v>1493340.8599999999</c:v>
                </c:pt>
                <c:pt idx="1">
                  <c:v>362122.65</c:v>
                </c:pt>
              </c:numCache>
            </c:numRef>
          </c:val>
          <c:extLst>
            <c:ext xmlns:c16="http://schemas.microsoft.com/office/drawing/2014/chart" uri="{C3380CC4-5D6E-409C-BE32-E72D297353CC}">
              <c16:uniqueId val="{00000000-DCB7-4C87-AE58-37247FD17E2F}"/>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[DASHBOARD.xlsm]cwr!PivotTable1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cwr!$B$3</c:f>
              <c:strCache>
                <c:ptCount val="1"/>
                <c:pt idx="0">
                  <c:v>Total</c:v>
                </c:pt>
              </c:strCache>
            </c:strRef>
          </c:tx>
          <c:spPr>
            <a:solidFill>
              <a:schemeClr val="accent1"/>
            </a:solidFill>
            <a:ln>
              <a:noFill/>
            </a:ln>
            <a:effectLst/>
            <a:sp3d/>
          </c:spPr>
          <c:invertIfNegative val="0"/>
          <c:cat>
            <c:strRef>
              <c:f>cwr!$A$4:$A$16</c:f>
              <c:strCache>
                <c:ptCount val="12"/>
                <c:pt idx="0">
                  <c:v>Pooja</c:v>
                </c:pt>
                <c:pt idx="1">
                  <c:v>Priya</c:v>
                </c:pt>
                <c:pt idx="2">
                  <c:v>Anjali</c:v>
                </c:pt>
                <c:pt idx="3">
                  <c:v>Rohit</c:v>
                </c:pt>
                <c:pt idx="4">
                  <c:v>Sneha</c:v>
                </c:pt>
                <c:pt idx="5">
                  <c:v>Arjun</c:v>
                </c:pt>
                <c:pt idx="6">
                  <c:v>Rahul</c:v>
                </c:pt>
                <c:pt idx="7">
                  <c:v>Neha</c:v>
                </c:pt>
                <c:pt idx="8">
                  <c:v>Amit</c:v>
                </c:pt>
                <c:pt idx="9">
                  <c:v>Vikas</c:v>
                </c:pt>
                <c:pt idx="10">
                  <c:v>Karan</c:v>
                </c:pt>
                <c:pt idx="11">
                  <c:v>Saurabh</c:v>
                </c:pt>
              </c:strCache>
            </c:strRef>
          </c:cat>
          <c:val>
            <c:numRef>
              <c:f>cwr!$B$4:$B$16</c:f>
              <c:numCache>
                <c:formatCode>General</c:formatCode>
                <c:ptCount val="12"/>
                <c:pt idx="0">
                  <c:v>372542.00999999995</c:v>
                </c:pt>
                <c:pt idx="1">
                  <c:v>276306.38</c:v>
                </c:pt>
                <c:pt idx="2">
                  <c:v>261102.72999999998</c:v>
                </c:pt>
                <c:pt idx="3">
                  <c:v>246474.78</c:v>
                </c:pt>
                <c:pt idx="4">
                  <c:v>213468.94</c:v>
                </c:pt>
                <c:pt idx="5">
                  <c:v>134558.93</c:v>
                </c:pt>
                <c:pt idx="6">
                  <c:v>121730.48999999999</c:v>
                </c:pt>
                <c:pt idx="7">
                  <c:v>84119.360000000001</c:v>
                </c:pt>
                <c:pt idx="8">
                  <c:v>79514.210000000006</c:v>
                </c:pt>
                <c:pt idx="9">
                  <c:v>32108.020000000004</c:v>
                </c:pt>
                <c:pt idx="10">
                  <c:v>22999.66</c:v>
                </c:pt>
                <c:pt idx="11">
                  <c:v>10538</c:v>
                </c:pt>
              </c:numCache>
            </c:numRef>
          </c:val>
          <c:extLst>
            <c:ext xmlns:c16="http://schemas.microsoft.com/office/drawing/2014/chart" uri="{C3380CC4-5D6E-409C-BE32-E72D297353CC}">
              <c16:uniqueId val="{00000000-F0A9-4C08-BFC0-32F7806D262A}"/>
            </c:ext>
          </c:extLst>
        </c:ser>
        <c:dLbls>
          <c:showLegendKey val="0"/>
          <c:showVal val="0"/>
          <c:showCatName val="0"/>
          <c:showSerName val="0"/>
          <c:showPercent val="0"/>
          <c:showBubbleSize val="0"/>
        </c:dLbls>
        <c:gapWidth val="150"/>
        <c:shape val="box"/>
        <c:axId val="2083848719"/>
        <c:axId val="2083825679"/>
        <c:axId val="0"/>
      </c:bar3DChart>
      <c:catAx>
        <c:axId val="2083848719"/>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3825679"/>
        <c:crosses val="autoZero"/>
        <c:auto val="1"/>
        <c:lblAlgn val="ctr"/>
        <c:lblOffset val="100"/>
        <c:noMultiLvlLbl val="0"/>
      </c:catAx>
      <c:valAx>
        <c:axId val="208382567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384871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[DASHBOARD.xlsm]pwr!PivotTable2</c:name>
    <c:fmtId val="4"/>
  </c:pivotSource>
  <c:chart>
    <c:autoTitleDeleted val="1"/>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pwr!$B$8</c:f>
              <c:strCache>
                <c:ptCount val="1"/>
                <c:pt idx="0">
                  <c:v>Total</c:v>
                </c:pt>
              </c:strCache>
            </c:strRef>
          </c:tx>
          <c:spPr>
            <a:solidFill>
              <a:schemeClr val="accent2"/>
            </a:solidFill>
            <a:ln>
              <a:noFill/>
            </a:ln>
            <a:effectLst/>
          </c:spPr>
          <c:invertIfNegative val="0"/>
          <c:cat>
            <c:strRef>
              <c:f>pwr!$A$9:$A$17</c:f>
              <c:strCache>
                <c:ptCount val="8"/>
                <c:pt idx="0">
                  <c:v>Laptop</c:v>
                </c:pt>
                <c:pt idx="1">
                  <c:v>Monitor</c:v>
                </c:pt>
                <c:pt idx="2">
                  <c:v>Desk</c:v>
                </c:pt>
                <c:pt idx="3">
                  <c:v>Printer</c:v>
                </c:pt>
                <c:pt idx="4">
                  <c:v>Chair</c:v>
                </c:pt>
                <c:pt idx="5">
                  <c:v>Keyboard</c:v>
                </c:pt>
                <c:pt idx="6">
                  <c:v>Headphones</c:v>
                </c:pt>
                <c:pt idx="7">
                  <c:v>Mouse</c:v>
                </c:pt>
              </c:strCache>
            </c:strRef>
          </c:cat>
          <c:val>
            <c:numRef>
              <c:f>pwr!$B$9:$B$17</c:f>
              <c:numCache>
                <c:formatCode>General</c:formatCode>
                <c:ptCount val="8"/>
                <c:pt idx="0">
                  <c:v>898637.80999999994</c:v>
                </c:pt>
                <c:pt idx="1">
                  <c:v>271182.12</c:v>
                </c:pt>
                <c:pt idx="2">
                  <c:v>258272.78999999998</c:v>
                </c:pt>
                <c:pt idx="3">
                  <c:v>246520.36</c:v>
                </c:pt>
                <c:pt idx="4">
                  <c:v>103849.86000000002</c:v>
                </c:pt>
                <c:pt idx="5">
                  <c:v>45340.78</c:v>
                </c:pt>
                <c:pt idx="6">
                  <c:v>26393.43</c:v>
                </c:pt>
                <c:pt idx="7">
                  <c:v>5266.36</c:v>
                </c:pt>
              </c:numCache>
            </c:numRef>
          </c:val>
          <c:extLst>
            <c:ext xmlns:c16="http://schemas.microsoft.com/office/drawing/2014/chart" uri="{C3380CC4-5D6E-409C-BE32-E72D297353CC}">
              <c16:uniqueId val="{00000000-3E33-43C8-9C67-1A8416F39DC2}"/>
            </c:ext>
          </c:extLst>
        </c:ser>
        <c:dLbls>
          <c:showLegendKey val="0"/>
          <c:showVal val="0"/>
          <c:showCatName val="0"/>
          <c:showSerName val="0"/>
          <c:showPercent val="0"/>
          <c:showBubbleSize val="0"/>
        </c:dLbls>
        <c:gapWidth val="182"/>
        <c:axId val="2083869359"/>
        <c:axId val="2083869839"/>
      </c:barChart>
      <c:catAx>
        <c:axId val="208386935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3869839"/>
        <c:crosses val="autoZero"/>
        <c:auto val="1"/>
        <c:lblAlgn val="ctr"/>
        <c:lblOffset val="100"/>
        <c:noMultiLvlLbl val="0"/>
      </c:catAx>
      <c:valAx>
        <c:axId val="208386983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386935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2">
        <a:lumMod val="60000"/>
        <a:lumOff val="4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[DASHBOARD.xlsm]mwr!PivotTable3</c:name>
    <c:fmtId val="7"/>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mwr!$B$3</c:f>
              <c:strCache>
                <c:ptCount val="1"/>
                <c:pt idx="0">
                  <c:v>Total</c:v>
                </c:pt>
              </c:strCache>
            </c:strRef>
          </c:tx>
          <c:spPr>
            <a:ln w="28575" cap="rnd">
              <a:solidFill>
                <a:schemeClr val="accent2"/>
              </a:solidFill>
              <a:round/>
            </a:ln>
            <a:effectLst/>
          </c:spPr>
          <c:marker>
            <c:symbol val="none"/>
          </c:marker>
          <c:cat>
            <c:strRef>
              <c:f>mwr!$A$4:$A$5</c:f>
              <c:strCache>
                <c:ptCount val="1"/>
                <c:pt idx="0">
                  <c:v>Jan</c:v>
                </c:pt>
              </c:strCache>
            </c:strRef>
          </c:cat>
          <c:val>
            <c:numRef>
              <c:f>mwr!$B$4:$B$5</c:f>
              <c:numCache>
                <c:formatCode>General</c:formatCode>
                <c:ptCount val="1"/>
                <c:pt idx="0">
                  <c:v>1855463.5099999995</c:v>
                </c:pt>
              </c:numCache>
            </c:numRef>
          </c:val>
          <c:smooth val="0"/>
          <c:extLst>
            <c:ext xmlns:c16="http://schemas.microsoft.com/office/drawing/2014/chart" uri="{C3380CC4-5D6E-409C-BE32-E72D297353CC}">
              <c16:uniqueId val="{00000000-6D01-450A-B200-E28E985F1A8A}"/>
            </c:ext>
          </c:extLst>
        </c:ser>
        <c:dLbls>
          <c:showLegendKey val="0"/>
          <c:showVal val="0"/>
          <c:showCatName val="0"/>
          <c:showSerName val="0"/>
          <c:showPercent val="0"/>
          <c:showBubbleSize val="0"/>
        </c:dLbls>
        <c:smooth val="0"/>
        <c:axId val="2083888079"/>
        <c:axId val="2083886639"/>
      </c:lineChart>
      <c:catAx>
        <c:axId val="20838880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3886639"/>
        <c:crosses val="autoZero"/>
        <c:auto val="1"/>
        <c:lblAlgn val="ctr"/>
        <c:lblOffset val="100"/>
        <c:noMultiLvlLbl val="0"/>
      </c:catAx>
      <c:valAx>
        <c:axId val="20838866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388807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2">
        <a:lumMod val="60000"/>
        <a:lumOff val="4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[DASHBOARD.xlsm]rwr!PivotTable4</c:name>
    <c:fmtId val="4"/>
  </c:pivotSource>
  <c:chart>
    <c:autoTitleDeleted val="1"/>
    <c:pivotFmts>
      <c:pivotFmt>
        <c:idx val="0"/>
        <c:spPr>
          <a:solidFill>
            <a:schemeClr val="accent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rwr!$B$3</c:f>
              <c:strCache>
                <c:ptCount val="1"/>
                <c:pt idx="0">
                  <c:v>Total</c:v>
                </c:pt>
              </c:strCache>
            </c:strRef>
          </c:tx>
          <c:spPr>
            <a:solidFill>
              <a:schemeClr val="accent2"/>
            </a:solidFill>
            <a:ln>
              <a:noFill/>
            </a:ln>
            <a:effectLst/>
            <a:sp3d/>
          </c:spPr>
          <c:invertIfNegative val="0"/>
          <c:cat>
            <c:strRef>
              <c:f>rwr!$A$4:$A$8</c:f>
              <c:strCache>
                <c:ptCount val="4"/>
                <c:pt idx="0">
                  <c:v>East</c:v>
                </c:pt>
                <c:pt idx="1">
                  <c:v>North</c:v>
                </c:pt>
                <c:pt idx="2">
                  <c:v>South</c:v>
                </c:pt>
                <c:pt idx="3">
                  <c:v>West</c:v>
                </c:pt>
              </c:strCache>
            </c:strRef>
          </c:cat>
          <c:val>
            <c:numRef>
              <c:f>rwr!$B$4:$B$8</c:f>
              <c:numCache>
                <c:formatCode>General</c:formatCode>
                <c:ptCount val="4"/>
                <c:pt idx="0">
                  <c:v>583943.5</c:v>
                </c:pt>
                <c:pt idx="1">
                  <c:v>498019.81000000006</c:v>
                </c:pt>
                <c:pt idx="2">
                  <c:v>277780.36</c:v>
                </c:pt>
                <c:pt idx="3">
                  <c:v>495719.83999999997</c:v>
                </c:pt>
              </c:numCache>
            </c:numRef>
          </c:val>
          <c:extLst>
            <c:ext xmlns:c16="http://schemas.microsoft.com/office/drawing/2014/chart" uri="{C3380CC4-5D6E-409C-BE32-E72D297353CC}">
              <c16:uniqueId val="{00000000-9477-47D7-A2E4-5A9FC65DA955}"/>
            </c:ext>
          </c:extLst>
        </c:ser>
        <c:dLbls>
          <c:showLegendKey val="0"/>
          <c:showVal val="0"/>
          <c:showCatName val="0"/>
          <c:showSerName val="0"/>
          <c:showPercent val="0"/>
          <c:showBubbleSize val="0"/>
        </c:dLbls>
        <c:gapWidth val="150"/>
        <c:shape val="box"/>
        <c:axId val="2083888559"/>
        <c:axId val="2083889039"/>
        <c:axId val="0"/>
      </c:bar3DChart>
      <c:catAx>
        <c:axId val="2083888559"/>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3889039"/>
        <c:crosses val="autoZero"/>
        <c:auto val="1"/>
        <c:lblAlgn val="ctr"/>
        <c:lblOffset val="100"/>
        <c:noMultiLvlLbl val="0"/>
      </c:catAx>
      <c:valAx>
        <c:axId val="20838890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388855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2">
        <a:lumMod val="60000"/>
        <a:lumOff val="4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[DASHBOARD.xlsm]catwr!PivotTable5</c:name>
    <c:fmtId val="4"/>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spPr>
          <a:solidFill>
            <a:schemeClr val="accent2"/>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2">
              <a:shade val="76000"/>
            </a:schemeClr>
          </a:solidFill>
          <a:ln>
            <a:noFill/>
          </a:ln>
          <a:effectLst>
            <a:outerShdw blurRad="317500" algn="ctr" rotWithShape="0">
              <a:prstClr val="black">
                <a:alpha val="25000"/>
              </a:prstClr>
            </a:outerShdw>
          </a:effectLst>
        </c:spPr>
      </c:pivotFmt>
      <c:pivotFmt>
        <c:idx val="6"/>
        <c:spPr>
          <a:solidFill>
            <a:schemeClr val="accent2">
              <a:tint val="77000"/>
            </a:schemeClr>
          </a:solidFill>
          <a:ln>
            <a:noFill/>
          </a:ln>
          <a:effectLst>
            <a:outerShdw blurRad="317500" algn="ctr" rotWithShape="0">
              <a:prstClr val="black">
                <a:alpha val="25000"/>
              </a:prstClr>
            </a:outerShdw>
          </a:effectLst>
        </c:spPr>
      </c:pivotFmt>
    </c:pivotFmts>
    <c:plotArea>
      <c:layout>
        <c:manualLayout>
          <c:layoutTarget val="inner"/>
          <c:xMode val="edge"/>
          <c:yMode val="edge"/>
          <c:x val="4.7464940668824167E-2"/>
          <c:y val="6.4406713882056765E-2"/>
          <c:w val="0.68842783001639363"/>
          <c:h val="0.89358984705935807"/>
        </c:manualLayout>
      </c:layout>
      <c:pieChart>
        <c:varyColors val="1"/>
        <c:ser>
          <c:idx val="0"/>
          <c:order val="0"/>
          <c:tx>
            <c:strRef>
              <c:f>catwr!$B$3</c:f>
              <c:strCache>
                <c:ptCount val="1"/>
                <c:pt idx="0">
                  <c:v>Total</c:v>
                </c:pt>
              </c:strCache>
            </c:strRef>
          </c:tx>
          <c:dPt>
            <c:idx val="0"/>
            <c:bubble3D val="0"/>
            <c:spPr>
              <a:solidFill>
                <a:schemeClr val="accent2">
                  <a:shade val="76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D606-401D-81F0-BCDEDAEA3C14}"/>
              </c:ext>
            </c:extLst>
          </c:dPt>
          <c:dPt>
            <c:idx val="1"/>
            <c:bubble3D val="0"/>
            <c:spPr>
              <a:solidFill>
                <a:schemeClr val="accent2">
                  <a:tint val="77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D606-401D-81F0-BCDEDAEA3C14}"/>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catwr!$A$4:$A$6</c:f>
              <c:strCache>
                <c:ptCount val="2"/>
                <c:pt idx="0">
                  <c:v>Electronics</c:v>
                </c:pt>
                <c:pt idx="1">
                  <c:v>Furniture</c:v>
                </c:pt>
              </c:strCache>
            </c:strRef>
          </c:cat>
          <c:val>
            <c:numRef>
              <c:f>catwr!$B$4:$B$6</c:f>
              <c:numCache>
                <c:formatCode>General</c:formatCode>
                <c:ptCount val="2"/>
                <c:pt idx="0">
                  <c:v>1493340.8599999999</c:v>
                </c:pt>
                <c:pt idx="1">
                  <c:v>362122.65</c:v>
                </c:pt>
              </c:numCache>
            </c:numRef>
          </c:val>
          <c:extLst>
            <c:ext xmlns:c16="http://schemas.microsoft.com/office/drawing/2014/chart" uri="{C3380CC4-5D6E-409C-BE32-E72D297353CC}">
              <c16:uniqueId val="{00000004-D606-401D-81F0-BCDEDAEA3C14}"/>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74883775450398793"/>
          <c:y val="0.40548344175761564"/>
          <c:w val="0.24253225628349853"/>
          <c:h val="0.18903267546674041"/>
        </c:manualLayout>
      </c:layout>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pattFill prst="dkDnDiag">
      <a:fgClr>
        <a:schemeClr val="lt1">
          <a:lumMod val="95000"/>
        </a:schemeClr>
      </a:fgClr>
      <a:bgClr>
        <a:schemeClr val="lt1"/>
      </a:bgClr>
    </a:patt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[DASHBOARD.xlsm]cwr!PivotTable1</c:name>
    <c:fmtId val="4"/>
  </c:pivotSource>
  <c:chart>
    <c:autoTitleDeleted val="1"/>
    <c:pivotFmts>
      <c:pivotFmt>
        <c:idx val="0"/>
        <c:spPr>
          <a:solidFill>
            <a:schemeClr val="accent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cwr!$B$3</c:f>
              <c:strCache>
                <c:ptCount val="1"/>
                <c:pt idx="0">
                  <c:v>Total</c:v>
                </c:pt>
              </c:strCache>
            </c:strRef>
          </c:tx>
          <c:spPr>
            <a:solidFill>
              <a:schemeClr val="accent2"/>
            </a:solidFill>
            <a:ln>
              <a:noFill/>
            </a:ln>
            <a:effectLst/>
            <a:sp3d/>
          </c:spPr>
          <c:invertIfNegative val="0"/>
          <c:cat>
            <c:strRef>
              <c:f>cwr!$A$4:$A$16</c:f>
              <c:strCache>
                <c:ptCount val="12"/>
                <c:pt idx="0">
                  <c:v>Pooja</c:v>
                </c:pt>
                <c:pt idx="1">
                  <c:v>Priya</c:v>
                </c:pt>
                <c:pt idx="2">
                  <c:v>Anjali</c:v>
                </c:pt>
                <c:pt idx="3">
                  <c:v>Rohit</c:v>
                </c:pt>
                <c:pt idx="4">
                  <c:v>Sneha</c:v>
                </c:pt>
                <c:pt idx="5">
                  <c:v>Arjun</c:v>
                </c:pt>
                <c:pt idx="6">
                  <c:v>Rahul</c:v>
                </c:pt>
                <c:pt idx="7">
                  <c:v>Neha</c:v>
                </c:pt>
                <c:pt idx="8">
                  <c:v>Amit</c:v>
                </c:pt>
                <c:pt idx="9">
                  <c:v>Vikas</c:v>
                </c:pt>
                <c:pt idx="10">
                  <c:v>Karan</c:v>
                </c:pt>
                <c:pt idx="11">
                  <c:v>Saurabh</c:v>
                </c:pt>
              </c:strCache>
            </c:strRef>
          </c:cat>
          <c:val>
            <c:numRef>
              <c:f>cwr!$B$4:$B$16</c:f>
              <c:numCache>
                <c:formatCode>General</c:formatCode>
                <c:ptCount val="12"/>
                <c:pt idx="0">
                  <c:v>372542.00999999995</c:v>
                </c:pt>
                <c:pt idx="1">
                  <c:v>276306.38</c:v>
                </c:pt>
                <c:pt idx="2">
                  <c:v>261102.72999999998</c:v>
                </c:pt>
                <c:pt idx="3">
                  <c:v>246474.78</c:v>
                </c:pt>
                <c:pt idx="4">
                  <c:v>213468.94</c:v>
                </c:pt>
                <c:pt idx="5">
                  <c:v>134558.93</c:v>
                </c:pt>
                <c:pt idx="6">
                  <c:v>121730.48999999999</c:v>
                </c:pt>
                <c:pt idx="7">
                  <c:v>84119.360000000001</c:v>
                </c:pt>
                <c:pt idx="8">
                  <c:v>79514.210000000006</c:v>
                </c:pt>
                <c:pt idx="9">
                  <c:v>32108.020000000004</c:v>
                </c:pt>
                <c:pt idx="10">
                  <c:v>22999.66</c:v>
                </c:pt>
                <c:pt idx="11">
                  <c:v>10538</c:v>
                </c:pt>
              </c:numCache>
            </c:numRef>
          </c:val>
          <c:extLst>
            <c:ext xmlns:c16="http://schemas.microsoft.com/office/drawing/2014/chart" uri="{C3380CC4-5D6E-409C-BE32-E72D297353CC}">
              <c16:uniqueId val="{00000000-3039-41E6-BD7A-307C6EF3BF5B}"/>
            </c:ext>
          </c:extLst>
        </c:ser>
        <c:dLbls>
          <c:showLegendKey val="0"/>
          <c:showVal val="0"/>
          <c:showCatName val="0"/>
          <c:showSerName val="0"/>
          <c:showPercent val="0"/>
          <c:showBubbleSize val="0"/>
        </c:dLbls>
        <c:gapWidth val="150"/>
        <c:shape val="box"/>
        <c:axId val="2083848719"/>
        <c:axId val="2083825679"/>
        <c:axId val="0"/>
      </c:bar3DChart>
      <c:catAx>
        <c:axId val="2083848719"/>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3825679"/>
        <c:crosses val="autoZero"/>
        <c:auto val="1"/>
        <c:lblAlgn val="ctr"/>
        <c:lblOffset val="100"/>
        <c:noMultiLvlLbl val="0"/>
      </c:catAx>
      <c:valAx>
        <c:axId val="208382567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384871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2">
        <a:lumMod val="60000"/>
        <a:lumOff val="4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withinLinear" id="15">
  <a:schemeClr val="accent2"/>
</cs:colorStyle>
</file>

<file path=xl/charts/colors7.xml><?xml version="1.0" encoding="utf-8"?>
<cs:colorStyle xmlns:cs="http://schemas.microsoft.com/office/drawing/2012/chartStyle" xmlns:a="http://schemas.openxmlformats.org/drawingml/2006/main" meth="withinLinear" id="15">
  <a:schemeClr val="accent2"/>
</cs:colorStyle>
</file>

<file path=xl/charts/colors8.xml><?xml version="1.0" encoding="utf-8"?>
<cs:colorStyle xmlns:cs="http://schemas.microsoft.com/office/drawing/2012/chartStyle" xmlns:a="http://schemas.openxmlformats.org/drawingml/2006/main" meth="withinLinear" id="15">
  <a:schemeClr val="accent2"/>
</cs:colorStyle>
</file>

<file path=xl/charts/colors9.xml><?xml version="1.0" encoding="utf-8"?>
<cs:colorStyle xmlns:cs="http://schemas.microsoft.com/office/drawing/2012/chartStyle" xmlns:a="http://schemas.openxmlformats.org/drawingml/2006/main" meth="withinLinear" id="15">
  <a:schemeClr val="accent2"/>
</cs:colorStyle>
</file>

<file path=xl/charts/colors10.xml><?xml version="1.0" encoding="utf-8"?>
<cs:colorStyle xmlns:cs="http://schemas.microsoft.com/office/drawing/2012/chartStyle" xmlns:a="http://schemas.openxmlformats.org/drawingml/2006/main" meth="withinLinear" id="15">
  <a:schemeClr val="accent2"/>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chart" Target="../charts/chart10.xml"/><Relationship Id="rId4"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2</xdr:col>
      <xdr:colOff>504825</xdr:colOff>
      <xdr:row>7</xdr:row>
      <xdr:rowOff>0</xdr:rowOff>
    </xdr:from>
    <xdr:to>
      <xdr:col>9</xdr:col>
      <xdr:colOff>523875</xdr:colOff>
      <xdr:row>21</xdr:row>
      <xdr:rowOff>76200</xdr:rowOff>
    </xdr:to>
    <xdr:graphicFrame macro="">
      <xdr:nvGraphicFramePr>
        <xdr:cNvPr id="2" name="Chart 1">
          <a:extLst>
            <a:ext uri="{FF2B5EF4-FFF2-40B4-BE49-F238E27FC236}">
              <a16:creationId xmlns:a16="http://schemas.microsoft.com/office/drawing/2014/main" id="{978722B0-6E2A-78D1-ABA2-D2EF28FAF39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57150</xdr:colOff>
      <xdr:row>6</xdr:row>
      <xdr:rowOff>47625</xdr:rowOff>
    </xdr:from>
    <xdr:to>
      <xdr:col>13</xdr:col>
      <xdr:colOff>57150</xdr:colOff>
      <xdr:row>14</xdr:row>
      <xdr:rowOff>57150</xdr:rowOff>
    </xdr:to>
    <mc:AlternateContent xmlns:mc="http://schemas.openxmlformats.org/markup-compatibility/2006" xmlns:a14="http://schemas.microsoft.com/office/drawing/2010/main">
      <mc:Choice Requires="a14">
        <xdr:graphicFrame macro="">
          <xdr:nvGraphicFramePr>
            <xdr:cNvPr id="3" name="Customer">
              <a:extLst>
                <a:ext uri="{FF2B5EF4-FFF2-40B4-BE49-F238E27FC236}">
                  <a16:creationId xmlns:a16="http://schemas.microsoft.com/office/drawing/2014/main" id="{A95721CC-397A-C290-3BE9-178118B7D06F}"/>
                </a:ext>
              </a:extLst>
            </xdr:cNvPr>
            <xdr:cNvGraphicFramePr/>
          </xdr:nvGraphicFramePr>
          <xdr:xfrm>
            <a:off x="0" y="0"/>
            <a:ext cx="0" cy="0"/>
          </xdr:xfrm>
          <a:graphic>
            <a:graphicData uri="http://schemas.microsoft.com/office/drawing/2010/slicer">
              <sle:slicer xmlns:sle="http://schemas.microsoft.com/office/drawing/2010/slicer" name="Customer"/>
            </a:graphicData>
          </a:graphic>
        </xdr:graphicFrame>
      </mc:Choice>
      <mc:Fallback xmlns="">
        <xdr:sp macro="" textlink="">
          <xdr:nvSpPr>
            <xdr:cNvPr id="0" name=""/>
            <xdr:cNvSpPr>
              <a:spLocks noTextEdit="1"/>
            </xdr:cNvSpPr>
          </xdr:nvSpPr>
          <xdr:spPr>
            <a:xfrm>
              <a:off x="6677025" y="1247775"/>
              <a:ext cx="1828800" cy="15430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600075</xdr:colOff>
      <xdr:row>6</xdr:row>
      <xdr:rowOff>19049</xdr:rowOff>
    </xdr:from>
    <xdr:to>
      <xdr:col>12</xdr:col>
      <xdr:colOff>600075</xdr:colOff>
      <xdr:row>14</xdr:row>
      <xdr:rowOff>57149</xdr:rowOff>
    </xdr:to>
    <mc:AlternateContent xmlns:mc="http://schemas.openxmlformats.org/markup-compatibility/2006" xmlns:a14="http://schemas.microsoft.com/office/drawing/2010/main">
      <mc:Choice Requires="a14">
        <xdr:graphicFrame macro="">
          <xdr:nvGraphicFramePr>
            <xdr:cNvPr id="4" name="Product">
              <a:extLst>
                <a:ext uri="{FF2B5EF4-FFF2-40B4-BE49-F238E27FC236}">
                  <a16:creationId xmlns:a16="http://schemas.microsoft.com/office/drawing/2014/main" id="{D4B7CA23-9D17-8D44-D207-F93FF9DCDFC3}"/>
                </a:ext>
              </a:extLst>
            </xdr:cNvPr>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mlns="">
        <xdr:sp macro="" textlink="">
          <xdr:nvSpPr>
            <xdr:cNvPr id="0" name=""/>
            <xdr:cNvSpPr>
              <a:spLocks noTextEdit="1"/>
            </xdr:cNvSpPr>
          </xdr:nvSpPr>
          <xdr:spPr>
            <a:xfrm>
              <a:off x="6610350" y="1219199"/>
              <a:ext cx="1828800" cy="15716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28575</xdr:colOff>
      <xdr:row>6</xdr:row>
      <xdr:rowOff>0</xdr:rowOff>
    </xdr:from>
    <xdr:to>
      <xdr:col>13</xdr:col>
      <xdr:colOff>28575</xdr:colOff>
      <xdr:row>11</xdr:row>
      <xdr:rowOff>66675</xdr:rowOff>
    </xdr:to>
    <mc:AlternateContent xmlns:mc="http://schemas.openxmlformats.org/markup-compatibility/2006" xmlns:a14="http://schemas.microsoft.com/office/drawing/2010/main">
      <mc:Choice Requires="a14">
        <xdr:graphicFrame macro="">
          <xdr:nvGraphicFramePr>
            <xdr:cNvPr id="5" name="Category">
              <a:extLst>
                <a:ext uri="{FF2B5EF4-FFF2-40B4-BE49-F238E27FC236}">
                  <a16:creationId xmlns:a16="http://schemas.microsoft.com/office/drawing/2014/main" id="{A1984F9C-2416-5FB3-AEAE-8E4EF0E43C0F}"/>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6648450" y="1200150"/>
              <a:ext cx="1828800" cy="10287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542925</xdr:colOff>
      <xdr:row>5</xdr:row>
      <xdr:rowOff>123825</xdr:rowOff>
    </xdr:from>
    <xdr:to>
      <xdr:col>13</xdr:col>
      <xdr:colOff>28575</xdr:colOff>
      <xdr:row>13</xdr:row>
      <xdr:rowOff>142875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ED56D335-4534-DB7C-9245-F7929AAD72AF}"/>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7086600" y="123825"/>
              <a:ext cx="1924050" cy="15525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533400</xdr:colOff>
      <xdr:row>5</xdr:row>
      <xdr:rowOff>133349</xdr:rowOff>
    </xdr:from>
    <xdr:to>
      <xdr:col>13</xdr:col>
      <xdr:colOff>57150</xdr:colOff>
      <xdr:row>13</xdr:row>
      <xdr:rowOff>152399</xdr:rowOff>
    </xdr:to>
    <mc:AlternateContent xmlns:mc="http://schemas.openxmlformats.org/markup-compatibility/2006" xmlns:a14="http://schemas.microsoft.com/office/drawing/2010/main">
      <mc:Choice Requires="a14">
        <xdr:graphicFrame macro="">
          <xdr:nvGraphicFramePr>
            <xdr:cNvPr id="7" name="Months (Date)">
              <a:extLst>
                <a:ext uri="{FF2B5EF4-FFF2-40B4-BE49-F238E27FC236}">
                  <a16:creationId xmlns:a16="http://schemas.microsoft.com/office/drawing/2014/main" id="{9CAFED43-A852-E4D1-C432-DE8345EA5FE0}"/>
                </a:ext>
              </a:extLst>
            </xdr:cNvPr>
            <xdr:cNvGraphicFramePr/>
          </xdr:nvGraphicFramePr>
          <xdr:xfrm>
            <a:off x="0" y="0"/>
            <a:ext cx="0" cy="0"/>
          </xdr:xfrm>
          <a:graphic>
            <a:graphicData uri="http://schemas.microsoft.com/office/drawing/2010/slicer">
              <sle:slicer xmlns:sle="http://schemas.microsoft.com/office/drawing/2010/slicer" name="Months (Date)"/>
            </a:graphicData>
          </a:graphic>
        </xdr:graphicFrame>
      </mc:Choice>
      <mc:Fallback xmlns="">
        <xdr:sp macro="" textlink="">
          <xdr:nvSpPr>
            <xdr:cNvPr id="0" name=""/>
            <xdr:cNvSpPr>
              <a:spLocks noTextEdit="1"/>
            </xdr:cNvSpPr>
          </xdr:nvSpPr>
          <xdr:spPr>
            <a:xfrm>
              <a:off x="6543675" y="1142999"/>
              <a:ext cx="1962150" cy="15525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1</xdr:row>
      <xdr:rowOff>28575</xdr:rowOff>
    </xdr:from>
    <xdr:to>
      <xdr:col>2</xdr:col>
      <xdr:colOff>9525</xdr:colOff>
      <xdr:row>1</xdr:row>
      <xdr:rowOff>304800</xdr:rowOff>
    </xdr:to>
    <xdr:sp macro="" textlink="">
      <xdr:nvSpPr>
        <xdr:cNvPr id="13" name="TextBox 12">
          <a:extLst>
            <a:ext uri="{FF2B5EF4-FFF2-40B4-BE49-F238E27FC236}">
              <a16:creationId xmlns:a16="http://schemas.microsoft.com/office/drawing/2014/main" id="{56655C3C-7FB1-75A0-2106-579B9B63893E}"/>
            </a:ext>
          </a:extLst>
        </xdr:cNvPr>
        <xdr:cNvSpPr txBox="1"/>
      </xdr:nvSpPr>
      <xdr:spPr>
        <a:xfrm>
          <a:off x="0" y="152400"/>
          <a:ext cx="1752600" cy="27622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Total Revenue</a:t>
          </a:r>
        </a:p>
      </xdr:txBody>
    </xdr:sp>
    <xdr:clientData/>
  </xdr:twoCellAnchor>
  <xdr:twoCellAnchor editAs="oneCell">
    <xdr:from>
      <xdr:col>0</xdr:col>
      <xdr:colOff>38100</xdr:colOff>
      <xdr:row>2</xdr:row>
      <xdr:rowOff>9525</xdr:rowOff>
    </xdr:from>
    <xdr:to>
      <xdr:col>1</xdr:col>
      <xdr:colOff>895350</xdr:colOff>
      <xdr:row>5</xdr:row>
      <xdr:rowOff>19050</xdr:rowOff>
    </xdr:to>
    <xdr:pic>
      <xdr:nvPicPr>
        <xdr:cNvPr id="16" name="Picture 15">
          <a:extLst>
            <a:ext uri="{FF2B5EF4-FFF2-40B4-BE49-F238E27FC236}">
              <a16:creationId xmlns:a16="http://schemas.microsoft.com/office/drawing/2014/main" id="{BC3ADD61-59B7-A0DE-332E-6CA4B5E89E2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100" y="390525"/>
          <a:ext cx="1666875" cy="581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123825</xdr:colOff>
      <xdr:row>0</xdr:row>
      <xdr:rowOff>133350</xdr:rowOff>
    </xdr:from>
    <xdr:to>
      <xdr:col>8</xdr:col>
      <xdr:colOff>142875</xdr:colOff>
      <xdr:row>15</xdr:row>
      <xdr:rowOff>19050</xdr:rowOff>
    </xdr:to>
    <xdr:graphicFrame macro="">
      <xdr:nvGraphicFramePr>
        <xdr:cNvPr id="3" name="Chart 2">
          <a:extLst>
            <a:ext uri="{FF2B5EF4-FFF2-40B4-BE49-F238E27FC236}">
              <a16:creationId xmlns:a16="http://schemas.microsoft.com/office/drawing/2014/main" id="{59211DA7-1A47-A146-4A5D-3212585E50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28575</xdr:colOff>
      <xdr:row>1</xdr:row>
      <xdr:rowOff>0</xdr:rowOff>
    </xdr:from>
    <xdr:to>
      <xdr:col>8</xdr:col>
      <xdr:colOff>266700</xdr:colOff>
      <xdr:row>12</xdr:row>
      <xdr:rowOff>66675</xdr:rowOff>
    </xdr:to>
    <xdr:graphicFrame macro="">
      <xdr:nvGraphicFramePr>
        <xdr:cNvPr id="2" name="Chart 1">
          <a:extLst>
            <a:ext uri="{FF2B5EF4-FFF2-40B4-BE49-F238E27FC236}">
              <a16:creationId xmlns:a16="http://schemas.microsoft.com/office/drawing/2014/main" id="{C4A4F644-CEEF-4D8C-98F5-E8DFD85F36F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104775</xdr:colOff>
      <xdr:row>1</xdr:row>
      <xdr:rowOff>95250</xdr:rowOff>
    </xdr:from>
    <xdr:to>
      <xdr:col>7</xdr:col>
      <xdr:colOff>552450</xdr:colOff>
      <xdr:row>14</xdr:row>
      <xdr:rowOff>38100</xdr:rowOff>
    </xdr:to>
    <xdr:graphicFrame macro="">
      <xdr:nvGraphicFramePr>
        <xdr:cNvPr id="2" name="Chart 1">
          <a:extLst>
            <a:ext uri="{FF2B5EF4-FFF2-40B4-BE49-F238E27FC236}">
              <a16:creationId xmlns:a16="http://schemas.microsoft.com/office/drawing/2014/main" id="{AC5EC3F1-B097-BA9B-4075-A05D1FBC19F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xdr:col>
      <xdr:colOff>171450</xdr:colOff>
      <xdr:row>1</xdr:row>
      <xdr:rowOff>9525</xdr:rowOff>
    </xdr:from>
    <xdr:to>
      <xdr:col>8</xdr:col>
      <xdr:colOff>476250</xdr:colOff>
      <xdr:row>15</xdr:row>
      <xdr:rowOff>85725</xdr:rowOff>
    </xdr:to>
    <xdr:graphicFrame macro="">
      <xdr:nvGraphicFramePr>
        <xdr:cNvPr id="2" name="Chart 1">
          <a:extLst>
            <a:ext uri="{FF2B5EF4-FFF2-40B4-BE49-F238E27FC236}">
              <a16:creationId xmlns:a16="http://schemas.microsoft.com/office/drawing/2014/main" id="{258438BE-B521-568B-F21A-0D1490BE0E0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9525</xdr:colOff>
      <xdr:row>20</xdr:row>
      <xdr:rowOff>114300</xdr:rowOff>
    </xdr:from>
    <xdr:to>
      <xdr:col>10</xdr:col>
      <xdr:colOff>52916</xdr:colOff>
      <xdr:row>24</xdr:row>
      <xdr:rowOff>85725</xdr:rowOff>
    </xdr:to>
    <mc:AlternateContent xmlns:mc="http://schemas.openxmlformats.org/markup-compatibility/2006" xmlns:a14="http://schemas.microsoft.com/office/drawing/2010/main">
      <mc:Choice Requires="a14">
        <xdr:graphicFrame macro="">
          <xdr:nvGraphicFramePr>
            <xdr:cNvPr id="5" name="Product 1">
              <a:extLst>
                <a:ext uri="{FF2B5EF4-FFF2-40B4-BE49-F238E27FC236}">
                  <a16:creationId xmlns:a16="http://schemas.microsoft.com/office/drawing/2014/main" id="{A78E002A-36DD-45B8-BF6A-A9B59CAD667C}"/>
                </a:ext>
              </a:extLst>
            </xdr:cNvPr>
            <xdr:cNvGraphicFramePr/>
          </xdr:nvGraphicFramePr>
          <xdr:xfrm>
            <a:off x="0" y="0"/>
            <a:ext cx="0" cy="0"/>
          </xdr:xfrm>
          <a:graphic>
            <a:graphicData uri="http://schemas.microsoft.com/office/drawing/2010/slicer">
              <sle:slicer xmlns:sle="http://schemas.microsoft.com/office/drawing/2010/slicer" name="Product 1"/>
            </a:graphicData>
          </a:graphic>
        </xdr:graphicFrame>
      </mc:Choice>
      <mc:Fallback xmlns="">
        <xdr:sp macro="" textlink="">
          <xdr:nvSpPr>
            <xdr:cNvPr id="0" name=""/>
            <xdr:cNvSpPr>
              <a:spLocks noTextEdit="1"/>
            </xdr:cNvSpPr>
          </xdr:nvSpPr>
          <xdr:spPr>
            <a:xfrm>
              <a:off x="9525" y="3924300"/>
              <a:ext cx="6139391" cy="7334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28575</xdr:colOff>
      <xdr:row>15</xdr:row>
      <xdr:rowOff>57149</xdr:rowOff>
    </xdr:from>
    <xdr:to>
      <xdr:col>10</xdr:col>
      <xdr:colOff>38100</xdr:colOff>
      <xdr:row>20</xdr:row>
      <xdr:rowOff>85724</xdr:rowOff>
    </xdr:to>
    <mc:AlternateContent xmlns:mc="http://schemas.openxmlformats.org/markup-compatibility/2006" xmlns:a14="http://schemas.microsoft.com/office/drawing/2010/main">
      <mc:Choice Requires="a14">
        <xdr:graphicFrame macro="">
          <xdr:nvGraphicFramePr>
            <xdr:cNvPr id="6" name="Category 1">
              <a:extLst>
                <a:ext uri="{FF2B5EF4-FFF2-40B4-BE49-F238E27FC236}">
                  <a16:creationId xmlns:a16="http://schemas.microsoft.com/office/drawing/2014/main" id="{4415E1BC-2181-4061-9304-22E41FED52FB}"/>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4905375" y="2914649"/>
              <a:ext cx="1228725" cy="9810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390525</xdr:colOff>
      <xdr:row>15</xdr:row>
      <xdr:rowOff>50800</xdr:rowOff>
    </xdr:from>
    <xdr:to>
      <xdr:col>8</xdr:col>
      <xdr:colOff>9525</xdr:colOff>
      <xdr:row>20</xdr:row>
      <xdr:rowOff>95249</xdr:rowOff>
    </xdr:to>
    <mc:AlternateContent xmlns:mc="http://schemas.openxmlformats.org/markup-compatibility/2006" xmlns:a14="http://schemas.microsoft.com/office/drawing/2010/main">
      <mc:Choice Requires="a14">
        <xdr:graphicFrame macro="">
          <xdr:nvGraphicFramePr>
            <xdr:cNvPr id="7" name="Region 1">
              <a:extLst>
                <a:ext uri="{FF2B5EF4-FFF2-40B4-BE49-F238E27FC236}">
                  <a16:creationId xmlns:a16="http://schemas.microsoft.com/office/drawing/2014/main" id="{1BB020A5-27C4-4603-9E1B-DD85ABCED9DA}"/>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3438525" y="2908300"/>
              <a:ext cx="1447800" cy="99694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10582</xdr:colOff>
      <xdr:row>15</xdr:row>
      <xdr:rowOff>58207</xdr:rowOff>
    </xdr:from>
    <xdr:to>
      <xdr:col>5</xdr:col>
      <xdr:colOff>370416</xdr:colOff>
      <xdr:row>20</xdr:row>
      <xdr:rowOff>81490</xdr:rowOff>
    </xdr:to>
    <mc:AlternateContent xmlns:mc="http://schemas.openxmlformats.org/markup-compatibility/2006" xmlns:a14="http://schemas.microsoft.com/office/drawing/2010/main">
      <mc:Choice Requires="a14">
        <xdr:graphicFrame macro="">
          <xdr:nvGraphicFramePr>
            <xdr:cNvPr id="8" name="Months (Date) 1">
              <a:extLst>
                <a:ext uri="{FF2B5EF4-FFF2-40B4-BE49-F238E27FC236}">
                  <a16:creationId xmlns:a16="http://schemas.microsoft.com/office/drawing/2014/main" id="{0B13C3C1-6729-4DD8-98F3-E4439680F7C0}"/>
                </a:ext>
              </a:extLst>
            </xdr:cNvPr>
            <xdr:cNvGraphicFramePr/>
          </xdr:nvGraphicFramePr>
          <xdr:xfrm>
            <a:off x="0" y="0"/>
            <a:ext cx="0" cy="0"/>
          </xdr:xfrm>
          <a:graphic>
            <a:graphicData uri="http://schemas.microsoft.com/office/drawing/2010/slicer">
              <sle:slicer xmlns:sle="http://schemas.microsoft.com/office/drawing/2010/slicer" name="Months (Date) 1"/>
            </a:graphicData>
          </a:graphic>
        </xdr:graphicFrame>
      </mc:Choice>
      <mc:Fallback xmlns="">
        <xdr:sp macro="" textlink="">
          <xdr:nvSpPr>
            <xdr:cNvPr id="0" name=""/>
            <xdr:cNvSpPr>
              <a:spLocks noTextEdit="1"/>
            </xdr:cNvSpPr>
          </xdr:nvSpPr>
          <xdr:spPr>
            <a:xfrm>
              <a:off x="10582" y="2915707"/>
              <a:ext cx="3407834" cy="97578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66675</xdr:colOff>
      <xdr:row>15</xdr:row>
      <xdr:rowOff>0</xdr:rowOff>
    </xdr:from>
    <xdr:to>
      <xdr:col>21</xdr:col>
      <xdr:colOff>233265</xdr:colOff>
      <xdr:row>24</xdr:row>
      <xdr:rowOff>57150</xdr:rowOff>
    </xdr:to>
    <xdr:graphicFrame macro="">
      <xdr:nvGraphicFramePr>
        <xdr:cNvPr id="9" name="Chart 8">
          <a:extLst>
            <a:ext uri="{FF2B5EF4-FFF2-40B4-BE49-F238E27FC236}">
              <a16:creationId xmlns:a16="http://schemas.microsoft.com/office/drawing/2014/main" id="{EE8ED22E-9EBF-4F62-85B6-E5ED82A6885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xdr:row>
      <xdr:rowOff>190501</xdr:rowOff>
    </xdr:from>
    <xdr:to>
      <xdr:col>5</xdr:col>
      <xdr:colOff>180974</xdr:colOff>
      <xdr:row>15</xdr:row>
      <xdr:rowOff>38101</xdr:rowOff>
    </xdr:to>
    <xdr:graphicFrame macro="">
      <xdr:nvGraphicFramePr>
        <xdr:cNvPr id="10" name="Chart 9">
          <a:extLst>
            <a:ext uri="{FF2B5EF4-FFF2-40B4-BE49-F238E27FC236}">
              <a16:creationId xmlns:a16="http://schemas.microsoft.com/office/drawing/2014/main" id="{8709B7D0-25BB-4E39-A8FB-61025BE7E0B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123826</xdr:colOff>
      <xdr:row>3</xdr:row>
      <xdr:rowOff>9525</xdr:rowOff>
    </xdr:from>
    <xdr:to>
      <xdr:col>15</xdr:col>
      <xdr:colOff>323850</xdr:colOff>
      <xdr:row>15</xdr:row>
      <xdr:rowOff>19050</xdr:rowOff>
    </xdr:to>
    <xdr:graphicFrame macro="">
      <xdr:nvGraphicFramePr>
        <xdr:cNvPr id="12" name="Chart 11">
          <a:extLst>
            <a:ext uri="{FF2B5EF4-FFF2-40B4-BE49-F238E27FC236}">
              <a16:creationId xmlns:a16="http://schemas.microsoft.com/office/drawing/2014/main" id="{88C9C886-5A8E-4339-A9EE-62E2AEFF7A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200025</xdr:colOff>
      <xdr:row>3</xdr:row>
      <xdr:rowOff>28574</xdr:rowOff>
    </xdr:from>
    <xdr:to>
      <xdr:col>10</xdr:col>
      <xdr:colOff>95250</xdr:colOff>
      <xdr:row>15</xdr:row>
      <xdr:rowOff>10055</xdr:rowOff>
    </xdr:to>
    <xdr:graphicFrame macro="">
      <xdr:nvGraphicFramePr>
        <xdr:cNvPr id="13" name="Chart 12">
          <a:extLst>
            <a:ext uri="{FF2B5EF4-FFF2-40B4-BE49-F238E27FC236}">
              <a16:creationId xmlns:a16="http://schemas.microsoft.com/office/drawing/2014/main" id="{2505A358-7B0A-4D42-AAF8-081BE004914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333375</xdr:colOff>
      <xdr:row>3</xdr:row>
      <xdr:rowOff>9525</xdr:rowOff>
    </xdr:from>
    <xdr:to>
      <xdr:col>21</xdr:col>
      <xdr:colOff>213826</xdr:colOff>
      <xdr:row>15</xdr:row>
      <xdr:rowOff>0</xdr:rowOff>
    </xdr:to>
    <xdr:graphicFrame macro="">
      <xdr:nvGraphicFramePr>
        <xdr:cNvPr id="14" name="Chart 13">
          <a:extLst>
            <a:ext uri="{FF2B5EF4-FFF2-40B4-BE49-F238E27FC236}">
              <a16:creationId xmlns:a16="http://schemas.microsoft.com/office/drawing/2014/main" id="{7275C0F5-5387-4925-A789-ACE4CC7888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43541</xdr:colOff>
      <xdr:row>2</xdr:row>
      <xdr:rowOff>150278</xdr:rowOff>
    </xdr:from>
    <xdr:ext cx="184731" cy="937693"/>
    <xdr:sp macro="" textlink="">
      <xdr:nvSpPr>
        <xdr:cNvPr id="3" name="Rectangle 2">
          <a:extLst>
            <a:ext uri="{FF2B5EF4-FFF2-40B4-BE49-F238E27FC236}">
              <a16:creationId xmlns:a16="http://schemas.microsoft.com/office/drawing/2014/main" id="{4C2E89C8-F040-CFB4-8160-73A9DB073D3E}"/>
            </a:ext>
          </a:extLst>
        </xdr:cNvPr>
        <xdr:cNvSpPr/>
      </xdr:nvSpPr>
      <xdr:spPr>
        <a:xfrm>
          <a:off x="3091541" y="569378"/>
          <a:ext cx="184731" cy="937693"/>
        </a:xfrm>
        <a:prstGeom prst="rect">
          <a:avLst/>
        </a:prstGeom>
        <a:noFill/>
      </xdr:spPr>
      <xdr:txBody>
        <a:bodyPr wrap="none" lIns="91440" tIns="45720" rIns="91440" bIns="45720">
          <a:spAutoFit/>
        </a:bodyPr>
        <a:lstStyle/>
        <a:p>
          <a:pPr algn="ctr"/>
          <a:endParaRPr lang="en-US" sz="5400" b="0" cap="none" spc="0">
            <a:ln w="0"/>
            <a:gradFill>
              <a:gsLst>
                <a:gs pos="0">
                  <a:schemeClr val="accent5">
                    <a:lumMod val="50000"/>
                  </a:schemeClr>
                </a:gs>
                <a:gs pos="50000">
                  <a:schemeClr val="accent5"/>
                </a:gs>
                <a:gs pos="100000">
                  <a:schemeClr val="accent5">
                    <a:lumMod val="60000"/>
                    <a:lumOff val="40000"/>
                  </a:schemeClr>
                </a:gs>
              </a:gsLst>
              <a:lin ang="5400000"/>
            </a:gradFill>
            <a:effectLst>
              <a:reflection blurRad="6350" stA="53000" endA="300" endPos="35500" dir="5400000" sy="-90000" algn="bl" rotWithShape="0"/>
            </a:effectLst>
          </a:endParaRPr>
        </a:p>
      </xdr:txBody>
    </xdr:sp>
    <xdr:clientData/>
  </xdr:oneCellAnchor>
  <xdr:oneCellAnchor>
    <xdr:from>
      <xdr:col>0</xdr:col>
      <xdr:colOff>0</xdr:colOff>
      <xdr:row>0</xdr:row>
      <xdr:rowOff>142875</xdr:rowOff>
    </xdr:from>
    <xdr:ext cx="4181475" cy="447675"/>
    <xdr:sp macro="" textlink="">
      <xdr:nvSpPr>
        <xdr:cNvPr id="20" name="Rectangle 19">
          <a:extLst>
            <a:ext uri="{FF2B5EF4-FFF2-40B4-BE49-F238E27FC236}">
              <a16:creationId xmlns:a16="http://schemas.microsoft.com/office/drawing/2014/main" id="{79FD874F-4E7D-3106-C6C4-3AD493A3D0DD}"/>
            </a:ext>
          </a:extLst>
        </xdr:cNvPr>
        <xdr:cNvSpPr/>
      </xdr:nvSpPr>
      <xdr:spPr>
        <a:xfrm>
          <a:off x="0" y="142875"/>
          <a:ext cx="4181475" cy="447675"/>
        </a:xfrm>
        <a:prstGeom prst="rect">
          <a:avLst/>
        </a:prstGeom>
        <a:noFill/>
      </xdr:spPr>
      <xdr:txBody>
        <a:bodyPr wrap="square" lIns="91440" tIns="45720" rIns="91440" bIns="45720">
          <a:noAutofit/>
        </a:bodyPr>
        <a:lstStyle/>
        <a:p>
          <a:pPr algn="ctr"/>
          <a:r>
            <a:rPr lang="en-US" sz="1800" b="0" cap="none" spc="0">
              <a:ln w="0"/>
              <a:solidFill>
                <a:schemeClr val="accent2">
                  <a:lumMod val="50000"/>
                </a:schemeClr>
              </a:solidFill>
              <a:effectLst>
                <a:reflection blurRad="6350" stA="53000" endA="300" endPos="35500" dir="5400000" sy="-90000" algn="bl" rotWithShape="0"/>
              </a:effectLst>
              <a:latin typeface="Algerian" panose="04020705040A02060702" pitchFamily="82" charset="0"/>
            </a:rPr>
            <a:t>Sales</a:t>
          </a:r>
          <a:r>
            <a:rPr lang="en-US" sz="1800" b="0" cap="none" spc="0" baseline="0">
              <a:ln w="0"/>
              <a:solidFill>
                <a:schemeClr val="accent2">
                  <a:lumMod val="50000"/>
                </a:schemeClr>
              </a:solidFill>
              <a:effectLst>
                <a:reflection blurRad="6350" stA="53000" endA="300" endPos="35500" dir="5400000" sy="-90000" algn="bl" rotWithShape="0"/>
              </a:effectLst>
              <a:latin typeface="Algerian" panose="04020705040A02060702" pitchFamily="82" charset="0"/>
            </a:rPr>
            <a:t> Performance Dashboard </a:t>
          </a:r>
          <a:endParaRPr lang="en-US" sz="1800" b="0" cap="none" spc="0">
            <a:ln w="0"/>
            <a:solidFill>
              <a:schemeClr val="accent2">
                <a:lumMod val="50000"/>
              </a:schemeClr>
            </a:solidFill>
            <a:effectLst>
              <a:reflection blurRad="6350" stA="53000" endA="300" endPos="35500" dir="5400000" sy="-90000" algn="bl" rotWithShape="0"/>
            </a:effectLst>
            <a:latin typeface="Algerian" panose="04020705040A02060702" pitchFamily="82" charset="0"/>
          </a:endParaRPr>
        </a:p>
      </xdr:txBody>
    </xdr:sp>
    <xdr:clientData/>
  </xdr:one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ragya" refreshedDate="46191.460488773148" createdVersion="8" refreshedVersion="8" minRefreshableVersion="3" recordCount="650" xr:uid="{2497C82B-10A1-4D17-AF60-7D1D148BE7BA}">
  <cacheSource type="worksheet">
    <worksheetSource name="Table1"/>
  </cacheSource>
  <cacheFields count="11">
    <cacheField name="Order_ID" numFmtId="0">
      <sharedItems containsSemiMixedTypes="0" containsString="0" containsNumber="1" containsInteger="1" minValue="10001" maxValue="10650"/>
    </cacheField>
    <cacheField name="Date" numFmtId="14">
      <sharedItems containsSemiMixedTypes="0" containsNonDate="0" containsDate="1" containsString="0" minDate="2025-01-02T00:00:00" maxDate="2026-01-01T00:00:00" count="301">
        <d v="2025-11-24T00:00:00"/>
        <d v="2025-03-13T00:00:00"/>
        <d v="2025-01-16T00:00:00"/>
        <d v="2025-10-15T00:00:00"/>
        <d v="2025-01-04T00:00:00"/>
        <d v="2025-06-22T00:00:00"/>
        <d v="2025-11-06T00:00:00"/>
        <d v="2025-07-13T00:00:00"/>
        <d v="2025-10-23T00:00:00"/>
        <d v="2025-02-10T00:00:00"/>
        <d v="2025-03-25T00:00:00"/>
        <d v="2025-11-08T00:00:00"/>
        <d v="2025-07-14T00:00:00"/>
        <d v="2025-04-28T00:00:00"/>
        <d v="2025-10-18T00:00:00"/>
        <d v="2025-03-15T00:00:00"/>
        <d v="2025-10-27T00:00:00"/>
        <d v="2025-09-18T00:00:00"/>
        <d v="2025-11-18T00:00:00"/>
        <d v="2025-11-02T00:00:00"/>
        <d v="2025-12-15T00:00:00"/>
        <d v="2025-02-27T00:00:00"/>
        <d v="2025-09-14T00:00:00"/>
        <d v="2025-11-03T00:00:00"/>
        <d v="2025-05-03T00:00:00"/>
        <d v="2025-09-06T00:00:00"/>
        <d v="2025-10-09T00:00:00"/>
        <d v="2025-04-19T00:00:00"/>
        <d v="2025-08-13T00:00:00"/>
        <d v="2025-01-11T00:00:00"/>
        <d v="2025-05-23T00:00:00"/>
        <d v="2025-05-05T00:00:00"/>
        <d v="2025-07-01T00:00:00"/>
        <d v="2025-12-11T00:00:00"/>
        <d v="2025-05-08T00:00:00"/>
        <d v="2025-04-04T00:00:00"/>
        <d v="2025-02-17T00:00:00"/>
        <d v="2025-07-25T00:00:00"/>
        <d v="2025-08-21T00:00:00"/>
        <d v="2025-03-21T00:00:00"/>
        <d v="2025-06-10T00:00:00"/>
        <d v="2025-01-30T00:00:00"/>
        <d v="2025-07-26T00:00:00"/>
        <d v="2025-11-14T00:00:00"/>
        <d v="2025-05-14T00:00:00"/>
        <d v="2025-12-10T00:00:00"/>
        <d v="2025-08-23T00:00:00"/>
        <d v="2025-03-09T00:00:00"/>
        <d v="2025-03-22T00:00:00"/>
        <d v="2025-12-08T00:00:00"/>
        <d v="2025-03-01T00:00:00"/>
        <d v="2025-06-25T00:00:00"/>
        <d v="2025-11-23T00:00:00"/>
        <d v="2025-10-07T00:00:00"/>
        <d v="2025-03-07T00:00:00"/>
        <d v="2025-04-18T00:00:00"/>
        <d v="2025-01-13T00:00:00"/>
        <d v="2025-05-17T00:00:00"/>
        <d v="2025-04-24T00:00:00"/>
        <d v="2025-06-29T00:00:00"/>
        <d v="2025-02-25T00:00:00"/>
        <d v="2025-11-07T00:00:00"/>
        <d v="2025-01-23T00:00:00"/>
        <d v="2025-07-06T00:00:00"/>
        <d v="2025-12-06T00:00:00"/>
        <d v="2025-06-17T00:00:00"/>
        <d v="2025-12-07T00:00:00"/>
        <d v="2025-10-08T00:00:00"/>
        <d v="2025-08-27T00:00:00"/>
        <d v="2025-03-28T00:00:00"/>
        <d v="2025-08-22T00:00:00"/>
        <d v="2025-09-11T00:00:00"/>
        <d v="2025-02-24T00:00:00"/>
        <d v="2025-01-26T00:00:00"/>
        <d v="2025-08-15T00:00:00"/>
        <d v="2025-08-19T00:00:00"/>
        <d v="2025-11-17T00:00:00"/>
        <d v="2025-05-01T00:00:00"/>
        <d v="2025-03-12T00:00:00"/>
        <d v="2025-02-02T00:00:00"/>
        <d v="2025-02-01T00:00:00"/>
        <d v="2025-10-22T00:00:00"/>
        <d v="2025-07-19T00:00:00"/>
        <d v="2025-09-07T00:00:00"/>
        <d v="2025-07-21T00:00:00"/>
        <d v="2025-02-11T00:00:00"/>
        <d v="2025-04-25T00:00:00"/>
        <d v="2025-10-16T00:00:00"/>
        <d v="2025-06-09T00:00:00"/>
        <d v="2025-10-31T00:00:00"/>
        <d v="2025-10-17T00:00:00"/>
        <d v="2025-02-05T00:00:00"/>
        <d v="2025-08-10T00:00:00"/>
        <d v="2025-09-25T00:00:00"/>
        <d v="2025-10-12T00:00:00"/>
        <d v="2025-07-28T00:00:00"/>
        <d v="2025-11-27T00:00:00"/>
        <d v="2025-08-31T00:00:00"/>
        <d v="2025-06-30T00:00:00"/>
        <d v="2025-04-09T00:00:00"/>
        <d v="2025-02-21T00:00:00"/>
        <d v="2025-01-08T00:00:00"/>
        <d v="2025-12-24T00:00:00"/>
        <d v="2025-08-29T00:00:00"/>
        <d v="2025-09-02T00:00:00"/>
        <d v="2025-03-19T00:00:00"/>
        <d v="2025-03-02T00:00:00"/>
        <d v="2025-06-06T00:00:00"/>
        <d v="2025-03-30T00:00:00"/>
        <d v="2025-05-30T00:00:00"/>
        <d v="2025-02-06T00:00:00"/>
        <d v="2025-08-06T00:00:00"/>
        <d v="2025-03-14T00:00:00"/>
        <d v="2025-05-20T00:00:00"/>
        <d v="2025-06-15T00:00:00"/>
        <d v="2025-09-23T00:00:00"/>
        <d v="2025-11-22T00:00:00"/>
        <d v="2025-06-14T00:00:00"/>
        <d v="2025-05-28T00:00:00"/>
        <d v="2025-05-10T00:00:00"/>
        <d v="2025-12-03T00:00:00"/>
        <d v="2025-11-15T00:00:00"/>
        <d v="2025-03-04T00:00:00"/>
        <d v="2025-08-25T00:00:00"/>
        <d v="2025-01-02T00:00:00"/>
        <d v="2025-03-18T00:00:00"/>
        <d v="2025-04-30T00:00:00"/>
        <d v="2025-07-17T00:00:00"/>
        <d v="2025-11-16T00:00:00"/>
        <d v="2025-06-12T00:00:00"/>
        <d v="2025-11-20T00:00:00"/>
        <d v="2025-11-21T00:00:00"/>
        <d v="2025-01-24T00:00:00"/>
        <d v="2025-03-16T00:00:00"/>
        <d v="2025-03-29T00:00:00"/>
        <d v="2025-09-12T00:00:00"/>
        <d v="2025-05-11T00:00:00"/>
        <d v="2025-02-07T00:00:00"/>
        <d v="2025-12-20T00:00:00"/>
        <d v="2025-09-05T00:00:00"/>
        <d v="2025-12-25T00:00:00"/>
        <d v="2025-05-21T00:00:00"/>
        <d v="2025-04-23T00:00:00"/>
        <d v="2025-10-24T00:00:00"/>
        <d v="2025-08-01T00:00:00"/>
        <d v="2025-09-29T00:00:00"/>
        <d v="2025-06-23T00:00:00"/>
        <d v="2025-12-13T00:00:00"/>
        <d v="2025-05-16T00:00:00"/>
        <d v="2025-06-05T00:00:00"/>
        <d v="2025-07-18T00:00:00"/>
        <d v="2025-10-28T00:00:00"/>
        <d v="2025-05-24T00:00:00"/>
        <d v="2025-07-05T00:00:00"/>
        <d v="2025-02-16T00:00:00"/>
        <d v="2025-05-22T00:00:00"/>
        <d v="2025-12-05T00:00:00"/>
        <d v="2025-01-09T00:00:00"/>
        <d v="2025-09-27T00:00:00"/>
        <d v="2025-08-20T00:00:00"/>
        <d v="2025-12-18T00:00:00"/>
        <d v="2025-08-09T00:00:00"/>
        <d v="2025-07-11T00:00:00"/>
        <d v="2025-01-27T00:00:00"/>
        <d v="2025-02-28T00:00:00"/>
        <d v="2025-07-12T00:00:00"/>
        <d v="2025-06-16T00:00:00"/>
        <d v="2025-12-12T00:00:00"/>
        <d v="2025-06-26T00:00:00"/>
        <d v="2025-05-29T00:00:00"/>
        <d v="2025-03-31T00:00:00"/>
        <d v="2025-11-13T00:00:00"/>
        <d v="2025-08-12T00:00:00"/>
        <d v="2025-12-02T00:00:00"/>
        <d v="2025-08-26T00:00:00"/>
        <d v="2025-06-08T00:00:00"/>
        <d v="2025-02-09T00:00:00"/>
        <d v="2025-10-25T00:00:00"/>
        <d v="2025-02-22T00:00:00"/>
        <d v="2025-05-07T00:00:00"/>
        <d v="2025-05-26T00:00:00"/>
        <d v="2025-10-26T00:00:00"/>
        <d v="2025-03-08T00:00:00"/>
        <d v="2025-04-26T00:00:00"/>
        <d v="2025-11-09T00:00:00"/>
        <d v="2025-04-13T00:00:00"/>
        <d v="2025-10-11T00:00:00"/>
        <d v="2025-03-24T00:00:00"/>
        <d v="2025-01-28T00:00:00"/>
        <d v="2025-12-28T00:00:00"/>
        <d v="2025-05-12T00:00:00"/>
        <d v="2025-02-26T00:00:00"/>
        <d v="2025-08-03T00:00:00"/>
        <d v="2025-05-04T00:00:00"/>
        <d v="2025-02-04T00:00:00"/>
        <d v="2025-12-17T00:00:00"/>
        <d v="2025-06-11T00:00:00"/>
        <d v="2025-11-05T00:00:00"/>
        <d v="2025-03-27T00:00:00"/>
        <d v="2025-11-11T00:00:00"/>
        <d v="2025-03-06T00:00:00"/>
        <d v="2025-07-16T00:00:00"/>
        <d v="2025-07-10T00:00:00"/>
        <d v="2025-07-23T00:00:00"/>
        <d v="2025-04-06T00:00:00"/>
        <d v="2025-05-15T00:00:00"/>
        <d v="2025-12-22T00:00:00"/>
        <d v="2025-12-30T00:00:00"/>
        <d v="2025-12-31T00:00:00"/>
        <d v="2025-08-28T00:00:00"/>
        <d v="2025-06-27T00:00:00"/>
        <d v="2025-11-30T00:00:00"/>
        <d v="2025-06-02T00:00:00"/>
        <d v="2025-09-21T00:00:00"/>
        <d v="2025-11-12T00:00:00"/>
        <d v="2025-09-13T00:00:00"/>
        <d v="2025-03-10T00:00:00"/>
        <d v="2025-12-29T00:00:00"/>
        <d v="2025-03-17T00:00:00"/>
        <d v="2025-04-08T00:00:00"/>
        <d v="2025-12-27T00:00:00"/>
        <d v="2025-10-03T00:00:00"/>
        <d v="2025-12-01T00:00:00"/>
        <d v="2025-05-27T00:00:00"/>
        <d v="2025-06-01T00:00:00"/>
        <d v="2025-08-07T00:00:00"/>
        <d v="2025-10-21T00:00:00"/>
        <d v="2025-01-29T00:00:00"/>
        <d v="2025-10-14T00:00:00"/>
        <d v="2025-01-17T00:00:00"/>
        <d v="2025-09-28T00:00:00"/>
        <d v="2025-08-24T00:00:00"/>
        <d v="2025-04-16T00:00:00"/>
        <d v="2025-05-06T00:00:00"/>
        <d v="2025-07-31T00:00:00"/>
        <d v="2025-09-26T00:00:00"/>
        <d v="2025-04-05T00:00:00"/>
        <d v="2025-05-18T00:00:00"/>
        <d v="2025-05-25T00:00:00"/>
        <d v="2025-01-31T00:00:00"/>
        <d v="2025-01-07T00:00:00"/>
        <d v="2025-12-23T00:00:00"/>
        <d v="2025-12-21T00:00:00"/>
        <d v="2025-10-06T00:00:00"/>
        <d v="2025-04-17T00:00:00"/>
        <d v="2025-02-20T00:00:00"/>
        <d v="2025-04-27T00:00:00"/>
        <d v="2025-08-16T00:00:00"/>
        <d v="2025-01-14T00:00:00"/>
        <d v="2025-10-20T00:00:00"/>
        <d v="2025-08-04T00:00:00"/>
        <d v="2025-03-11T00:00:00"/>
        <d v="2025-06-18T00:00:00"/>
        <d v="2025-06-03T00:00:00"/>
        <d v="2025-07-29T00:00:00"/>
        <d v="2025-12-04T00:00:00"/>
        <d v="2025-01-06T00:00:00"/>
        <d v="2025-08-17T00:00:00"/>
        <d v="2025-09-24T00:00:00"/>
        <d v="2025-06-13T00:00:00"/>
        <d v="2025-01-12T00:00:00"/>
        <d v="2025-09-22T00:00:00"/>
        <d v="2025-07-22T00:00:00"/>
        <d v="2025-12-26T00:00:00"/>
        <d v="2025-11-29T00:00:00"/>
        <d v="2025-08-14T00:00:00"/>
        <d v="2025-03-05T00:00:00"/>
        <d v="2025-07-20T00:00:00"/>
        <d v="2025-10-19T00:00:00"/>
        <d v="2025-01-21T00:00:00"/>
        <d v="2025-08-05T00:00:00"/>
        <d v="2025-10-02T00:00:00"/>
        <d v="2025-03-03T00:00:00"/>
        <d v="2025-01-19T00:00:00"/>
        <d v="2025-05-19T00:00:00"/>
        <d v="2025-04-02T00:00:00"/>
        <d v="2025-01-05T00:00:00"/>
        <d v="2025-06-07T00:00:00"/>
        <d v="2025-09-09T00:00:00"/>
        <d v="2025-04-29T00:00:00"/>
        <d v="2025-02-18T00:00:00"/>
        <d v="2025-02-03T00:00:00"/>
        <d v="2025-01-18T00:00:00"/>
        <d v="2025-11-26T00:00:00"/>
        <d v="2025-09-03T00:00:00"/>
        <d v="2025-10-30T00:00:00"/>
        <d v="2025-01-20T00:00:00"/>
        <d v="2025-05-02T00:00:00"/>
        <d v="2025-02-14T00:00:00"/>
        <d v="2025-02-13T00:00:00"/>
        <d v="2025-09-15T00:00:00"/>
        <d v="2025-12-16T00:00:00"/>
        <d v="2025-11-01T00:00:00"/>
        <d v="2025-04-07T00:00:00"/>
        <d v="2025-09-08T00:00:00"/>
        <d v="2025-11-04T00:00:00"/>
        <d v="2025-06-04T00:00:00"/>
        <d v="2025-05-31T00:00:00"/>
        <d v="2025-08-30T00:00:00"/>
        <d v="2025-01-03T00:00:00"/>
        <d v="2025-10-01T00:00:00"/>
      </sharedItems>
      <fieldGroup par="10"/>
    </cacheField>
    <cacheField name="Customer" numFmtId="0">
      <sharedItems count="12">
        <s v="Neha"/>
        <s v="Sneha"/>
        <s v="Arjun"/>
        <s v="Vikas"/>
        <s v="Rahul"/>
        <s v="Rohit"/>
        <s v="Pooja"/>
        <s v="Anjali"/>
        <s v="Karan"/>
        <s v="Priya"/>
        <s v="Amit"/>
        <s v="Saurabh"/>
      </sharedItems>
    </cacheField>
    <cacheField name="Product" numFmtId="0">
      <sharedItems count="8">
        <s v="Mouse"/>
        <s v="Monitor"/>
        <s v="Keyboard"/>
        <s v="Chair"/>
        <s v="Desk"/>
        <s v="Laptop"/>
        <s v="Printer"/>
        <s v="Headphones"/>
      </sharedItems>
    </cacheField>
    <cacheField name="Category" numFmtId="0">
      <sharedItems count="2">
        <s v="Electronics"/>
        <s v="Furniture"/>
      </sharedItems>
    </cacheField>
    <cacheField name="Qty" numFmtId="0">
      <sharedItems containsSemiMixedTypes="0" containsString="0" containsNumber="1" containsInteger="1" minValue="1" maxValue="5"/>
    </cacheField>
    <cacheField name="Unit_Price" numFmtId="0">
      <sharedItems containsSemiMixedTypes="0" containsString="0" containsNumber="1" minValue="450.11" maxValue="54985.87"/>
    </cacheField>
    <cacheField name="Region" numFmtId="0">
      <sharedItems count="4">
        <s v="South"/>
        <s v="North"/>
        <s v="East"/>
        <s v="West"/>
      </sharedItems>
    </cacheField>
    <cacheField name="Sales_Amount" numFmtId="0">
      <sharedItems containsSemiMixedTypes="0" containsString="0" containsNumber="1" minValue="450.11" maxValue="274734"/>
    </cacheField>
    <cacheField name="Days (Date)" numFmtId="0" databaseField="0">
      <fieldGroup base="1">
        <rangePr groupBy="days" startDate="2025-01-02T00:00:00" endDate="2026-01-01T00:00:00"/>
        <groupItems count="368">
          <s v="&lt;02-01-202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1-01-2026"/>
        </groupItems>
      </fieldGroup>
    </cacheField>
    <cacheField name="Months (Date)" numFmtId="0" databaseField="0">
      <fieldGroup base="1">
        <rangePr groupBy="months" startDate="2025-01-02T00:00:00" endDate="2026-01-01T00:00:00"/>
        <groupItems count="14">
          <s v="&lt;02-01-2025"/>
          <s v="Jan"/>
          <s v="Feb"/>
          <s v="Mar"/>
          <s v="Apr"/>
          <s v="May"/>
          <s v="Jun"/>
          <s v="Jul"/>
          <s v="Aug"/>
          <s v="Sep"/>
          <s v="Oct"/>
          <s v="Nov"/>
          <s v="Dec"/>
          <s v="&gt;01-01-2026"/>
        </groupItems>
      </fieldGroup>
    </cacheField>
  </cacheFields>
  <extLst>
    <ext xmlns:x14="http://schemas.microsoft.com/office/spreadsheetml/2009/9/main" uri="{725AE2AE-9491-48be-B2B4-4EB974FC3084}">
      <x14:pivotCacheDefinition pivotCacheId="34901498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50">
  <r>
    <n v="10001"/>
    <x v="0"/>
    <x v="0"/>
    <x v="0"/>
    <x v="0"/>
    <n v="2"/>
    <n v="524.16"/>
    <x v="0"/>
    <n v="1048.32"/>
  </r>
  <r>
    <n v="10002"/>
    <x v="1"/>
    <x v="1"/>
    <x v="0"/>
    <x v="0"/>
    <n v="5"/>
    <n v="458.69"/>
    <x v="1"/>
    <n v="2293.4499999999998"/>
  </r>
  <r>
    <n v="10003"/>
    <x v="2"/>
    <x v="2"/>
    <x v="0"/>
    <x v="0"/>
    <n v="2"/>
    <n v="473.27"/>
    <x v="1"/>
    <n v="946.54"/>
  </r>
  <r>
    <n v="10004"/>
    <x v="3"/>
    <x v="3"/>
    <x v="1"/>
    <x v="0"/>
    <n v="5"/>
    <n v="11806.85"/>
    <x v="2"/>
    <n v="59034.25"/>
  </r>
  <r>
    <n v="10005"/>
    <x v="4"/>
    <x v="4"/>
    <x v="2"/>
    <x v="0"/>
    <n v="4"/>
    <n v="1452.08"/>
    <x v="0"/>
    <n v="5808.32"/>
  </r>
  <r>
    <n v="10006"/>
    <x v="5"/>
    <x v="5"/>
    <x v="0"/>
    <x v="0"/>
    <n v="1"/>
    <n v="487.99"/>
    <x v="2"/>
    <n v="487.99"/>
  </r>
  <r>
    <n v="10007"/>
    <x v="6"/>
    <x v="6"/>
    <x v="3"/>
    <x v="1"/>
    <n v="1"/>
    <n v="7321.62"/>
    <x v="1"/>
    <n v="7321.62"/>
  </r>
  <r>
    <n v="10008"/>
    <x v="7"/>
    <x v="7"/>
    <x v="0"/>
    <x v="0"/>
    <n v="5"/>
    <n v="479.32"/>
    <x v="2"/>
    <n v="2396.6"/>
  </r>
  <r>
    <n v="10009"/>
    <x v="8"/>
    <x v="0"/>
    <x v="1"/>
    <x v="0"/>
    <n v="1"/>
    <n v="10909.98"/>
    <x v="2"/>
    <n v="10909.98"/>
  </r>
  <r>
    <n v="10010"/>
    <x v="9"/>
    <x v="3"/>
    <x v="1"/>
    <x v="0"/>
    <n v="1"/>
    <n v="11712.3"/>
    <x v="2"/>
    <n v="11712.3"/>
  </r>
  <r>
    <n v="10011"/>
    <x v="10"/>
    <x v="8"/>
    <x v="4"/>
    <x v="1"/>
    <n v="3"/>
    <n v="11302.82"/>
    <x v="1"/>
    <n v="33908.46"/>
  </r>
  <r>
    <n v="10012"/>
    <x v="11"/>
    <x v="4"/>
    <x v="2"/>
    <x v="0"/>
    <n v="5"/>
    <n v="1568.74"/>
    <x v="3"/>
    <n v="7843.7"/>
  </r>
  <r>
    <n v="10013"/>
    <x v="12"/>
    <x v="5"/>
    <x v="3"/>
    <x v="1"/>
    <n v="5"/>
    <n v="6607.46"/>
    <x v="1"/>
    <n v="33037.300000000003"/>
  </r>
  <r>
    <n v="10014"/>
    <x v="13"/>
    <x v="9"/>
    <x v="5"/>
    <x v="0"/>
    <n v="3"/>
    <n v="49011.65"/>
    <x v="0"/>
    <n v="147034.95000000001"/>
  </r>
  <r>
    <n v="10015"/>
    <x v="14"/>
    <x v="1"/>
    <x v="4"/>
    <x v="1"/>
    <n v="2"/>
    <n v="12373.05"/>
    <x v="3"/>
    <n v="24746.1"/>
  </r>
  <r>
    <n v="10016"/>
    <x v="15"/>
    <x v="6"/>
    <x v="3"/>
    <x v="1"/>
    <n v="2"/>
    <n v="6645.28"/>
    <x v="2"/>
    <n v="13290.56"/>
  </r>
  <r>
    <n v="10017"/>
    <x v="16"/>
    <x v="0"/>
    <x v="6"/>
    <x v="0"/>
    <n v="5"/>
    <n v="8818.92"/>
    <x v="0"/>
    <n v="44094.6"/>
  </r>
  <r>
    <n v="10018"/>
    <x v="17"/>
    <x v="9"/>
    <x v="7"/>
    <x v="0"/>
    <n v="1"/>
    <n v="2627.89"/>
    <x v="0"/>
    <n v="2627.89"/>
  </r>
  <r>
    <n v="10019"/>
    <x v="18"/>
    <x v="1"/>
    <x v="2"/>
    <x v="0"/>
    <n v="4"/>
    <n v="1528.92"/>
    <x v="3"/>
    <n v="6115.68"/>
  </r>
  <r>
    <n v="10020"/>
    <x v="19"/>
    <x v="6"/>
    <x v="7"/>
    <x v="0"/>
    <n v="5"/>
    <n v="2375.71"/>
    <x v="1"/>
    <n v="11878.55"/>
  </r>
  <r>
    <n v="10021"/>
    <x v="20"/>
    <x v="7"/>
    <x v="0"/>
    <x v="0"/>
    <n v="5"/>
    <n v="525.09"/>
    <x v="2"/>
    <n v="2625.4500000000003"/>
  </r>
  <r>
    <n v="10022"/>
    <x v="21"/>
    <x v="10"/>
    <x v="3"/>
    <x v="1"/>
    <n v="4"/>
    <n v="6521.42"/>
    <x v="2"/>
    <n v="26085.68"/>
  </r>
  <r>
    <n v="10023"/>
    <x v="22"/>
    <x v="7"/>
    <x v="2"/>
    <x v="0"/>
    <n v="5"/>
    <n v="1623.79"/>
    <x v="2"/>
    <n v="8118.95"/>
  </r>
  <r>
    <n v="10024"/>
    <x v="0"/>
    <x v="4"/>
    <x v="1"/>
    <x v="0"/>
    <n v="2"/>
    <n v="11697.39"/>
    <x v="1"/>
    <n v="23394.78"/>
  </r>
  <r>
    <n v="10025"/>
    <x v="23"/>
    <x v="5"/>
    <x v="4"/>
    <x v="1"/>
    <n v="4"/>
    <n v="10846.74"/>
    <x v="2"/>
    <n v="43386.96"/>
  </r>
  <r>
    <n v="10026"/>
    <x v="24"/>
    <x v="9"/>
    <x v="5"/>
    <x v="0"/>
    <n v="2"/>
    <n v="53780.1"/>
    <x v="1"/>
    <n v="107560.2"/>
  </r>
  <r>
    <n v="10027"/>
    <x v="25"/>
    <x v="4"/>
    <x v="0"/>
    <x v="0"/>
    <n v="5"/>
    <n v="526.58000000000004"/>
    <x v="3"/>
    <n v="2632.9"/>
  </r>
  <r>
    <n v="10028"/>
    <x v="26"/>
    <x v="2"/>
    <x v="2"/>
    <x v="0"/>
    <n v="3"/>
    <n v="1508.3"/>
    <x v="3"/>
    <n v="4524.8999999999996"/>
  </r>
  <r>
    <n v="10029"/>
    <x v="27"/>
    <x v="7"/>
    <x v="1"/>
    <x v="0"/>
    <n v="3"/>
    <n v="11757.58"/>
    <x v="2"/>
    <n v="35272.74"/>
  </r>
  <r>
    <n v="10030"/>
    <x v="28"/>
    <x v="9"/>
    <x v="7"/>
    <x v="0"/>
    <n v="1"/>
    <n v="2373.9499999999998"/>
    <x v="2"/>
    <n v="2373.9499999999998"/>
  </r>
  <r>
    <n v="10031"/>
    <x v="29"/>
    <x v="9"/>
    <x v="1"/>
    <x v="0"/>
    <n v="5"/>
    <n v="11328.52"/>
    <x v="1"/>
    <n v="56642.600000000006"/>
  </r>
  <r>
    <n v="10032"/>
    <x v="13"/>
    <x v="9"/>
    <x v="0"/>
    <x v="0"/>
    <n v="1"/>
    <n v="535.96"/>
    <x v="0"/>
    <n v="535.96"/>
  </r>
  <r>
    <n v="10033"/>
    <x v="30"/>
    <x v="11"/>
    <x v="7"/>
    <x v="0"/>
    <n v="2"/>
    <n v="2519.62"/>
    <x v="3"/>
    <n v="5039.24"/>
  </r>
  <r>
    <n v="10034"/>
    <x v="31"/>
    <x v="9"/>
    <x v="7"/>
    <x v="0"/>
    <n v="4"/>
    <n v="2345.1999999999998"/>
    <x v="3"/>
    <n v="9380.7999999999993"/>
  </r>
  <r>
    <n v="10035"/>
    <x v="32"/>
    <x v="11"/>
    <x v="6"/>
    <x v="0"/>
    <n v="4"/>
    <n v="8940.64"/>
    <x v="1"/>
    <n v="35762.559999999998"/>
  </r>
  <r>
    <n v="10036"/>
    <x v="33"/>
    <x v="5"/>
    <x v="0"/>
    <x v="0"/>
    <n v="1"/>
    <n v="490.26"/>
    <x v="1"/>
    <n v="490.26"/>
  </r>
  <r>
    <n v="10037"/>
    <x v="34"/>
    <x v="4"/>
    <x v="1"/>
    <x v="0"/>
    <n v="2"/>
    <n v="12087.09"/>
    <x v="3"/>
    <n v="24174.18"/>
  </r>
  <r>
    <n v="10038"/>
    <x v="35"/>
    <x v="9"/>
    <x v="3"/>
    <x v="1"/>
    <n v="4"/>
    <n v="6649.73"/>
    <x v="3"/>
    <n v="26598.92"/>
  </r>
  <r>
    <n v="10039"/>
    <x v="26"/>
    <x v="6"/>
    <x v="0"/>
    <x v="0"/>
    <n v="1"/>
    <n v="515.21"/>
    <x v="1"/>
    <n v="515.21"/>
  </r>
  <r>
    <n v="10040"/>
    <x v="36"/>
    <x v="3"/>
    <x v="1"/>
    <x v="0"/>
    <n v="2"/>
    <n v="11775.39"/>
    <x v="0"/>
    <n v="23550.78"/>
  </r>
  <r>
    <n v="10041"/>
    <x v="37"/>
    <x v="1"/>
    <x v="5"/>
    <x v="0"/>
    <n v="2"/>
    <n v="48789.73"/>
    <x v="2"/>
    <n v="97579.46"/>
  </r>
  <r>
    <n v="10042"/>
    <x v="38"/>
    <x v="11"/>
    <x v="3"/>
    <x v="1"/>
    <n v="4"/>
    <n v="7275.23"/>
    <x v="3"/>
    <n v="29100.92"/>
  </r>
  <r>
    <n v="10043"/>
    <x v="39"/>
    <x v="10"/>
    <x v="1"/>
    <x v="0"/>
    <n v="3"/>
    <n v="11322.48"/>
    <x v="1"/>
    <n v="33967.440000000002"/>
  </r>
  <r>
    <n v="10044"/>
    <x v="40"/>
    <x v="6"/>
    <x v="5"/>
    <x v="0"/>
    <n v="1"/>
    <n v="50841.78"/>
    <x v="0"/>
    <n v="50841.78"/>
  </r>
  <r>
    <n v="10045"/>
    <x v="41"/>
    <x v="9"/>
    <x v="0"/>
    <x v="0"/>
    <n v="2"/>
    <n v="456.85"/>
    <x v="0"/>
    <n v="913.7"/>
  </r>
  <r>
    <n v="10046"/>
    <x v="42"/>
    <x v="2"/>
    <x v="0"/>
    <x v="0"/>
    <n v="5"/>
    <n v="474.62"/>
    <x v="1"/>
    <n v="2373.1"/>
  </r>
  <r>
    <n v="10047"/>
    <x v="43"/>
    <x v="2"/>
    <x v="0"/>
    <x v="0"/>
    <n v="4"/>
    <n v="515.74"/>
    <x v="2"/>
    <n v="2062.96"/>
  </r>
  <r>
    <n v="10048"/>
    <x v="44"/>
    <x v="1"/>
    <x v="1"/>
    <x v="0"/>
    <n v="3"/>
    <n v="11372.85"/>
    <x v="0"/>
    <n v="34118.550000000003"/>
  </r>
  <r>
    <n v="10049"/>
    <x v="45"/>
    <x v="9"/>
    <x v="3"/>
    <x v="1"/>
    <n v="4"/>
    <n v="6742.65"/>
    <x v="1"/>
    <n v="26970.6"/>
  </r>
  <r>
    <n v="10050"/>
    <x v="46"/>
    <x v="6"/>
    <x v="0"/>
    <x v="0"/>
    <n v="1"/>
    <n v="503.76"/>
    <x v="2"/>
    <n v="503.76"/>
  </r>
  <r>
    <n v="10051"/>
    <x v="47"/>
    <x v="5"/>
    <x v="4"/>
    <x v="1"/>
    <n v="1"/>
    <n v="12910.25"/>
    <x v="2"/>
    <n v="12910.25"/>
  </r>
  <r>
    <n v="10052"/>
    <x v="48"/>
    <x v="2"/>
    <x v="7"/>
    <x v="0"/>
    <n v="5"/>
    <n v="2601.77"/>
    <x v="1"/>
    <n v="13008.85"/>
  </r>
  <r>
    <n v="10053"/>
    <x v="49"/>
    <x v="4"/>
    <x v="3"/>
    <x v="1"/>
    <n v="1"/>
    <n v="7614.5"/>
    <x v="2"/>
    <n v="7614.5"/>
  </r>
  <r>
    <n v="10054"/>
    <x v="50"/>
    <x v="8"/>
    <x v="0"/>
    <x v="0"/>
    <n v="5"/>
    <n v="465.54"/>
    <x v="0"/>
    <n v="2327.7000000000003"/>
  </r>
  <r>
    <n v="10055"/>
    <x v="51"/>
    <x v="8"/>
    <x v="1"/>
    <x v="0"/>
    <n v="3"/>
    <n v="12012.98"/>
    <x v="1"/>
    <n v="36038.94"/>
  </r>
  <r>
    <n v="10056"/>
    <x v="36"/>
    <x v="5"/>
    <x v="6"/>
    <x v="0"/>
    <n v="3"/>
    <n v="8179.36"/>
    <x v="0"/>
    <n v="24538.079999999998"/>
  </r>
  <r>
    <n v="10057"/>
    <x v="52"/>
    <x v="6"/>
    <x v="3"/>
    <x v="1"/>
    <n v="2"/>
    <n v="7337.72"/>
    <x v="3"/>
    <n v="14675.44"/>
  </r>
  <r>
    <n v="10058"/>
    <x v="3"/>
    <x v="11"/>
    <x v="5"/>
    <x v="0"/>
    <n v="1"/>
    <n v="45752.44"/>
    <x v="0"/>
    <n v="45752.44"/>
  </r>
  <r>
    <n v="10059"/>
    <x v="53"/>
    <x v="4"/>
    <x v="5"/>
    <x v="0"/>
    <n v="3"/>
    <n v="50825.1"/>
    <x v="3"/>
    <n v="152475.29999999999"/>
  </r>
  <r>
    <n v="10060"/>
    <x v="54"/>
    <x v="10"/>
    <x v="5"/>
    <x v="0"/>
    <n v="3"/>
    <n v="48646.52"/>
    <x v="2"/>
    <n v="145939.56"/>
  </r>
  <r>
    <n v="10061"/>
    <x v="55"/>
    <x v="6"/>
    <x v="1"/>
    <x v="0"/>
    <n v="1"/>
    <n v="11648.83"/>
    <x v="3"/>
    <n v="11648.83"/>
  </r>
  <r>
    <n v="10062"/>
    <x v="43"/>
    <x v="4"/>
    <x v="2"/>
    <x v="0"/>
    <n v="2"/>
    <n v="1609.38"/>
    <x v="3"/>
    <n v="3218.76"/>
  </r>
  <r>
    <n v="10063"/>
    <x v="56"/>
    <x v="1"/>
    <x v="2"/>
    <x v="0"/>
    <n v="3"/>
    <n v="1584.72"/>
    <x v="0"/>
    <n v="4754.16"/>
  </r>
  <r>
    <n v="10064"/>
    <x v="57"/>
    <x v="10"/>
    <x v="2"/>
    <x v="0"/>
    <n v="1"/>
    <n v="1464.76"/>
    <x v="3"/>
    <n v="1464.76"/>
  </r>
  <r>
    <n v="10065"/>
    <x v="58"/>
    <x v="0"/>
    <x v="1"/>
    <x v="0"/>
    <n v="4"/>
    <n v="11639.18"/>
    <x v="0"/>
    <n v="46556.72"/>
  </r>
  <r>
    <n v="10066"/>
    <x v="56"/>
    <x v="9"/>
    <x v="1"/>
    <x v="0"/>
    <n v="4"/>
    <n v="11587.83"/>
    <x v="2"/>
    <n v="46351.32"/>
  </r>
  <r>
    <n v="10067"/>
    <x v="59"/>
    <x v="10"/>
    <x v="6"/>
    <x v="0"/>
    <n v="5"/>
    <n v="8696.07"/>
    <x v="1"/>
    <n v="43480.35"/>
  </r>
  <r>
    <n v="10068"/>
    <x v="44"/>
    <x v="8"/>
    <x v="2"/>
    <x v="0"/>
    <n v="5"/>
    <n v="1638.76"/>
    <x v="1"/>
    <n v="8193.7999999999993"/>
  </r>
  <r>
    <n v="10069"/>
    <x v="60"/>
    <x v="5"/>
    <x v="6"/>
    <x v="0"/>
    <n v="3"/>
    <n v="9411.3799999999992"/>
    <x v="3"/>
    <n v="28234.14"/>
  </r>
  <r>
    <n v="10070"/>
    <x v="61"/>
    <x v="0"/>
    <x v="0"/>
    <x v="0"/>
    <n v="4"/>
    <n v="539.95000000000005"/>
    <x v="2"/>
    <n v="2159.8000000000002"/>
  </r>
  <r>
    <n v="10071"/>
    <x v="62"/>
    <x v="6"/>
    <x v="6"/>
    <x v="0"/>
    <n v="1"/>
    <n v="9035.86"/>
    <x v="0"/>
    <n v="9035.86"/>
  </r>
  <r>
    <n v="10072"/>
    <x v="63"/>
    <x v="5"/>
    <x v="6"/>
    <x v="0"/>
    <n v="1"/>
    <n v="9807.9699999999993"/>
    <x v="2"/>
    <n v="9807.9699999999993"/>
  </r>
  <r>
    <n v="10073"/>
    <x v="64"/>
    <x v="7"/>
    <x v="0"/>
    <x v="0"/>
    <n v="3"/>
    <n v="500.71"/>
    <x v="3"/>
    <n v="1502.1299999999999"/>
  </r>
  <r>
    <n v="10074"/>
    <x v="65"/>
    <x v="0"/>
    <x v="6"/>
    <x v="0"/>
    <n v="3"/>
    <n v="9097.94"/>
    <x v="3"/>
    <n v="27293.82"/>
  </r>
  <r>
    <n v="10075"/>
    <x v="66"/>
    <x v="8"/>
    <x v="6"/>
    <x v="0"/>
    <n v="2"/>
    <n v="9207.93"/>
    <x v="3"/>
    <n v="18415.86"/>
  </r>
  <r>
    <n v="10076"/>
    <x v="67"/>
    <x v="1"/>
    <x v="5"/>
    <x v="0"/>
    <n v="3"/>
    <n v="47869.14"/>
    <x v="2"/>
    <n v="143607.41999999998"/>
  </r>
  <r>
    <n v="10077"/>
    <x v="68"/>
    <x v="6"/>
    <x v="7"/>
    <x v="0"/>
    <n v="4"/>
    <n v="2587.81"/>
    <x v="3"/>
    <n v="10351.24"/>
  </r>
  <r>
    <n v="10078"/>
    <x v="69"/>
    <x v="7"/>
    <x v="0"/>
    <x v="0"/>
    <n v="3"/>
    <n v="501.55"/>
    <x v="2"/>
    <n v="1504.65"/>
  </r>
  <r>
    <n v="10079"/>
    <x v="36"/>
    <x v="0"/>
    <x v="1"/>
    <x v="0"/>
    <n v="3"/>
    <n v="11339.14"/>
    <x v="0"/>
    <n v="34017.42"/>
  </r>
  <r>
    <n v="10080"/>
    <x v="56"/>
    <x v="2"/>
    <x v="5"/>
    <x v="0"/>
    <n v="2"/>
    <n v="54839.360000000001"/>
    <x v="1"/>
    <n v="109678.72"/>
  </r>
  <r>
    <n v="10081"/>
    <x v="70"/>
    <x v="11"/>
    <x v="6"/>
    <x v="0"/>
    <n v="5"/>
    <n v="8449.98"/>
    <x v="3"/>
    <n v="42249.899999999994"/>
  </r>
  <r>
    <n v="10082"/>
    <x v="71"/>
    <x v="11"/>
    <x v="6"/>
    <x v="0"/>
    <n v="2"/>
    <n v="8365.6299999999992"/>
    <x v="1"/>
    <n v="16731.259999999998"/>
  </r>
  <r>
    <n v="10083"/>
    <x v="72"/>
    <x v="11"/>
    <x v="6"/>
    <x v="0"/>
    <n v="2"/>
    <n v="8416.6"/>
    <x v="3"/>
    <n v="16833.2"/>
  </r>
  <r>
    <n v="10084"/>
    <x v="73"/>
    <x v="3"/>
    <x v="1"/>
    <x v="0"/>
    <n v="1"/>
    <n v="11895.51"/>
    <x v="2"/>
    <n v="11895.51"/>
  </r>
  <r>
    <n v="10085"/>
    <x v="74"/>
    <x v="4"/>
    <x v="6"/>
    <x v="0"/>
    <n v="5"/>
    <n v="8902.64"/>
    <x v="3"/>
    <n v="44513.2"/>
  </r>
  <r>
    <n v="10086"/>
    <x v="75"/>
    <x v="8"/>
    <x v="3"/>
    <x v="1"/>
    <n v="2"/>
    <n v="7475.81"/>
    <x v="3"/>
    <n v="14951.62"/>
  </r>
  <r>
    <n v="10087"/>
    <x v="76"/>
    <x v="11"/>
    <x v="1"/>
    <x v="0"/>
    <n v="3"/>
    <n v="11855.69"/>
    <x v="2"/>
    <n v="35567.07"/>
  </r>
  <r>
    <n v="10088"/>
    <x v="77"/>
    <x v="6"/>
    <x v="3"/>
    <x v="1"/>
    <n v="3"/>
    <n v="6747.59"/>
    <x v="1"/>
    <n v="20242.77"/>
  </r>
  <r>
    <n v="10089"/>
    <x v="78"/>
    <x v="4"/>
    <x v="2"/>
    <x v="0"/>
    <n v="2"/>
    <n v="1464.91"/>
    <x v="0"/>
    <n v="2929.82"/>
  </r>
  <r>
    <n v="10090"/>
    <x v="79"/>
    <x v="3"/>
    <x v="6"/>
    <x v="0"/>
    <n v="4"/>
    <n v="8695.59"/>
    <x v="3"/>
    <n v="34782.36"/>
  </r>
  <r>
    <n v="10091"/>
    <x v="80"/>
    <x v="2"/>
    <x v="1"/>
    <x v="0"/>
    <n v="4"/>
    <n v="11734.74"/>
    <x v="1"/>
    <n v="46938.96"/>
  </r>
  <r>
    <n v="10092"/>
    <x v="81"/>
    <x v="5"/>
    <x v="6"/>
    <x v="0"/>
    <n v="4"/>
    <n v="8110.61"/>
    <x v="2"/>
    <n v="32442.44"/>
  </r>
  <r>
    <n v="10093"/>
    <x v="82"/>
    <x v="6"/>
    <x v="6"/>
    <x v="0"/>
    <n v="5"/>
    <n v="9445.5300000000007"/>
    <x v="0"/>
    <n v="47227.65"/>
  </r>
  <r>
    <n v="10094"/>
    <x v="83"/>
    <x v="10"/>
    <x v="1"/>
    <x v="0"/>
    <n v="3"/>
    <n v="11846.01"/>
    <x v="3"/>
    <n v="35538.03"/>
  </r>
  <r>
    <n v="10095"/>
    <x v="5"/>
    <x v="4"/>
    <x v="6"/>
    <x v="0"/>
    <n v="2"/>
    <n v="9612.91"/>
    <x v="1"/>
    <n v="19225.82"/>
  </r>
  <r>
    <n v="10096"/>
    <x v="84"/>
    <x v="4"/>
    <x v="5"/>
    <x v="0"/>
    <n v="1"/>
    <n v="51427.5"/>
    <x v="3"/>
    <n v="51427.5"/>
  </r>
  <r>
    <n v="10097"/>
    <x v="35"/>
    <x v="0"/>
    <x v="5"/>
    <x v="0"/>
    <n v="3"/>
    <n v="48791.040000000001"/>
    <x v="3"/>
    <n v="146373.12"/>
  </r>
  <r>
    <n v="10098"/>
    <x v="65"/>
    <x v="1"/>
    <x v="4"/>
    <x v="1"/>
    <n v="4"/>
    <n v="11467.82"/>
    <x v="2"/>
    <n v="45871.28"/>
  </r>
  <r>
    <n v="10099"/>
    <x v="85"/>
    <x v="10"/>
    <x v="7"/>
    <x v="0"/>
    <n v="1"/>
    <n v="2624.51"/>
    <x v="2"/>
    <n v="2624.51"/>
  </r>
  <r>
    <n v="10100"/>
    <x v="86"/>
    <x v="0"/>
    <x v="0"/>
    <x v="0"/>
    <n v="1"/>
    <n v="525.41999999999996"/>
    <x v="0"/>
    <n v="525.41999999999996"/>
  </r>
  <r>
    <n v="10101"/>
    <x v="29"/>
    <x v="7"/>
    <x v="2"/>
    <x v="0"/>
    <n v="2"/>
    <n v="1387.87"/>
    <x v="1"/>
    <n v="2775.74"/>
  </r>
  <r>
    <n v="10102"/>
    <x v="87"/>
    <x v="5"/>
    <x v="1"/>
    <x v="0"/>
    <n v="4"/>
    <n v="12478.72"/>
    <x v="0"/>
    <n v="49914.879999999997"/>
  </r>
  <r>
    <n v="10103"/>
    <x v="61"/>
    <x v="9"/>
    <x v="0"/>
    <x v="0"/>
    <n v="2"/>
    <n v="546.47"/>
    <x v="1"/>
    <n v="1092.94"/>
  </r>
  <r>
    <n v="10104"/>
    <x v="88"/>
    <x v="0"/>
    <x v="6"/>
    <x v="0"/>
    <n v="4"/>
    <n v="9794.65"/>
    <x v="1"/>
    <n v="39178.6"/>
  </r>
  <r>
    <n v="10105"/>
    <x v="89"/>
    <x v="8"/>
    <x v="1"/>
    <x v="0"/>
    <n v="1"/>
    <n v="12473.26"/>
    <x v="1"/>
    <n v="12473.26"/>
  </r>
  <r>
    <n v="10106"/>
    <x v="90"/>
    <x v="7"/>
    <x v="5"/>
    <x v="0"/>
    <n v="3"/>
    <n v="50327.45"/>
    <x v="2"/>
    <n v="150982.34999999998"/>
  </r>
  <r>
    <n v="10107"/>
    <x v="91"/>
    <x v="3"/>
    <x v="4"/>
    <x v="1"/>
    <n v="1"/>
    <n v="12838.98"/>
    <x v="1"/>
    <n v="12838.98"/>
  </r>
  <r>
    <n v="10108"/>
    <x v="92"/>
    <x v="1"/>
    <x v="4"/>
    <x v="1"/>
    <n v="4"/>
    <n v="12497.54"/>
    <x v="0"/>
    <n v="49990.16"/>
  </r>
  <r>
    <n v="10109"/>
    <x v="93"/>
    <x v="6"/>
    <x v="3"/>
    <x v="1"/>
    <n v="5"/>
    <n v="7431.48"/>
    <x v="3"/>
    <n v="37157.399999999994"/>
  </r>
  <r>
    <n v="10110"/>
    <x v="68"/>
    <x v="0"/>
    <x v="6"/>
    <x v="0"/>
    <n v="5"/>
    <n v="8583.11"/>
    <x v="1"/>
    <n v="42915.55"/>
  </r>
  <r>
    <n v="10111"/>
    <x v="30"/>
    <x v="2"/>
    <x v="7"/>
    <x v="0"/>
    <n v="2"/>
    <n v="2625.24"/>
    <x v="3"/>
    <n v="5250.48"/>
  </r>
  <r>
    <n v="10112"/>
    <x v="5"/>
    <x v="4"/>
    <x v="5"/>
    <x v="0"/>
    <n v="4"/>
    <n v="53509.53"/>
    <x v="3"/>
    <n v="214038.12"/>
  </r>
  <r>
    <n v="10113"/>
    <x v="27"/>
    <x v="2"/>
    <x v="4"/>
    <x v="1"/>
    <n v="3"/>
    <n v="11616.81"/>
    <x v="2"/>
    <n v="34850.43"/>
  </r>
  <r>
    <n v="10114"/>
    <x v="94"/>
    <x v="9"/>
    <x v="5"/>
    <x v="0"/>
    <n v="5"/>
    <n v="54480.63"/>
    <x v="0"/>
    <n v="272403.14999999997"/>
  </r>
  <r>
    <n v="10115"/>
    <x v="95"/>
    <x v="11"/>
    <x v="7"/>
    <x v="0"/>
    <n v="5"/>
    <n v="2629.08"/>
    <x v="3"/>
    <n v="13145.4"/>
  </r>
  <r>
    <n v="10116"/>
    <x v="96"/>
    <x v="9"/>
    <x v="7"/>
    <x v="0"/>
    <n v="4"/>
    <n v="2646.47"/>
    <x v="2"/>
    <n v="10585.88"/>
  </r>
  <r>
    <n v="10117"/>
    <x v="58"/>
    <x v="2"/>
    <x v="6"/>
    <x v="0"/>
    <n v="2"/>
    <n v="8651.17"/>
    <x v="2"/>
    <n v="17302.34"/>
  </r>
  <r>
    <n v="10118"/>
    <x v="97"/>
    <x v="6"/>
    <x v="4"/>
    <x v="1"/>
    <n v="4"/>
    <n v="13191.92"/>
    <x v="2"/>
    <n v="52767.68"/>
  </r>
  <r>
    <n v="10119"/>
    <x v="98"/>
    <x v="0"/>
    <x v="7"/>
    <x v="0"/>
    <n v="3"/>
    <n v="2403.31"/>
    <x v="1"/>
    <n v="7209.93"/>
  </r>
  <r>
    <n v="10120"/>
    <x v="99"/>
    <x v="11"/>
    <x v="4"/>
    <x v="1"/>
    <n v="1"/>
    <n v="12582.91"/>
    <x v="0"/>
    <n v="12582.91"/>
  </r>
  <r>
    <n v="10121"/>
    <x v="99"/>
    <x v="2"/>
    <x v="1"/>
    <x v="0"/>
    <n v="4"/>
    <n v="11463.6"/>
    <x v="2"/>
    <n v="45854.400000000001"/>
  </r>
  <r>
    <n v="10122"/>
    <x v="100"/>
    <x v="4"/>
    <x v="1"/>
    <x v="0"/>
    <n v="3"/>
    <n v="11345.96"/>
    <x v="2"/>
    <n v="34037.879999999997"/>
  </r>
  <r>
    <n v="10123"/>
    <x v="101"/>
    <x v="10"/>
    <x v="2"/>
    <x v="0"/>
    <n v="3"/>
    <n v="1363.65"/>
    <x v="2"/>
    <n v="4090.9500000000003"/>
  </r>
  <r>
    <n v="10124"/>
    <x v="102"/>
    <x v="10"/>
    <x v="2"/>
    <x v="0"/>
    <n v="4"/>
    <n v="1380.78"/>
    <x v="2"/>
    <n v="5523.12"/>
  </r>
  <r>
    <n v="10125"/>
    <x v="103"/>
    <x v="10"/>
    <x v="7"/>
    <x v="0"/>
    <n v="4"/>
    <n v="2420.35"/>
    <x v="2"/>
    <n v="9681.4"/>
  </r>
  <r>
    <n v="10126"/>
    <x v="104"/>
    <x v="9"/>
    <x v="0"/>
    <x v="0"/>
    <n v="1"/>
    <n v="490.07"/>
    <x v="1"/>
    <n v="490.07"/>
  </r>
  <r>
    <n v="10127"/>
    <x v="105"/>
    <x v="9"/>
    <x v="2"/>
    <x v="0"/>
    <n v="5"/>
    <n v="1634.74"/>
    <x v="0"/>
    <n v="8173.7"/>
  </r>
  <r>
    <n v="10128"/>
    <x v="106"/>
    <x v="2"/>
    <x v="6"/>
    <x v="0"/>
    <n v="5"/>
    <n v="9173.0300000000007"/>
    <x v="0"/>
    <n v="45865.15"/>
  </r>
  <r>
    <n v="10129"/>
    <x v="93"/>
    <x v="8"/>
    <x v="6"/>
    <x v="0"/>
    <n v="4"/>
    <n v="9735.31"/>
    <x v="3"/>
    <n v="38941.24"/>
  </r>
  <r>
    <n v="10130"/>
    <x v="107"/>
    <x v="9"/>
    <x v="5"/>
    <x v="0"/>
    <n v="5"/>
    <n v="54601.09"/>
    <x v="0"/>
    <n v="273005.44999999995"/>
  </r>
  <r>
    <n v="10131"/>
    <x v="76"/>
    <x v="4"/>
    <x v="1"/>
    <x v="0"/>
    <n v="3"/>
    <n v="12385.03"/>
    <x v="0"/>
    <n v="37155.090000000004"/>
  </r>
  <r>
    <n v="10132"/>
    <x v="108"/>
    <x v="3"/>
    <x v="0"/>
    <x v="0"/>
    <n v="2"/>
    <n v="450.27"/>
    <x v="3"/>
    <n v="900.54"/>
  </r>
  <r>
    <n v="10133"/>
    <x v="109"/>
    <x v="8"/>
    <x v="5"/>
    <x v="0"/>
    <n v="2"/>
    <n v="47881.05"/>
    <x v="3"/>
    <n v="95762.1"/>
  </r>
  <r>
    <n v="10134"/>
    <x v="110"/>
    <x v="7"/>
    <x v="1"/>
    <x v="0"/>
    <n v="3"/>
    <n v="12690.79"/>
    <x v="0"/>
    <n v="38072.370000000003"/>
  </r>
  <r>
    <n v="10135"/>
    <x v="111"/>
    <x v="4"/>
    <x v="0"/>
    <x v="0"/>
    <n v="5"/>
    <n v="472.48"/>
    <x v="2"/>
    <n v="2362.4"/>
  </r>
  <r>
    <n v="10136"/>
    <x v="112"/>
    <x v="8"/>
    <x v="0"/>
    <x v="0"/>
    <n v="1"/>
    <n v="466.59"/>
    <x v="2"/>
    <n v="466.59"/>
  </r>
  <r>
    <n v="10137"/>
    <x v="28"/>
    <x v="11"/>
    <x v="0"/>
    <x v="0"/>
    <n v="4"/>
    <n v="518.87"/>
    <x v="3"/>
    <n v="2075.48"/>
  </r>
  <r>
    <n v="10138"/>
    <x v="113"/>
    <x v="10"/>
    <x v="7"/>
    <x v="0"/>
    <n v="4"/>
    <n v="2290.2199999999998"/>
    <x v="3"/>
    <n v="9160.8799999999992"/>
  </r>
  <r>
    <n v="10139"/>
    <x v="114"/>
    <x v="7"/>
    <x v="3"/>
    <x v="1"/>
    <n v="1"/>
    <n v="6427.86"/>
    <x v="1"/>
    <n v="6427.86"/>
  </r>
  <r>
    <n v="10140"/>
    <x v="33"/>
    <x v="4"/>
    <x v="3"/>
    <x v="1"/>
    <n v="5"/>
    <n v="6356.32"/>
    <x v="3"/>
    <n v="31781.599999999999"/>
  </r>
  <r>
    <n v="10141"/>
    <x v="115"/>
    <x v="2"/>
    <x v="7"/>
    <x v="0"/>
    <n v="3"/>
    <n v="2340.7399999999998"/>
    <x v="3"/>
    <n v="7022.2199999999993"/>
  </r>
  <r>
    <n v="10142"/>
    <x v="116"/>
    <x v="1"/>
    <x v="7"/>
    <x v="0"/>
    <n v="1"/>
    <n v="2485.0100000000002"/>
    <x v="2"/>
    <n v="2485.0100000000002"/>
  </r>
  <r>
    <n v="10143"/>
    <x v="117"/>
    <x v="11"/>
    <x v="0"/>
    <x v="0"/>
    <n v="2"/>
    <n v="482.98"/>
    <x v="3"/>
    <n v="965.96"/>
  </r>
  <r>
    <n v="10144"/>
    <x v="118"/>
    <x v="9"/>
    <x v="6"/>
    <x v="0"/>
    <n v="5"/>
    <n v="8166.05"/>
    <x v="2"/>
    <n v="40830.25"/>
  </r>
  <r>
    <n v="10145"/>
    <x v="119"/>
    <x v="1"/>
    <x v="4"/>
    <x v="1"/>
    <n v="1"/>
    <n v="13128.44"/>
    <x v="1"/>
    <n v="13128.44"/>
  </r>
  <r>
    <n v="10146"/>
    <x v="120"/>
    <x v="6"/>
    <x v="7"/>
    <x v="0"/>
    <n v="4"/>
    <n v="2277.1"/>
    <x v="2"/>
    <n v="9108.4"/>
  </r>
  <r>
    <n v="10147"/>
    <x v="121"/>
    <x v="0"/>
    <x v="7"/>
    <x v="0"/>
    <n v="4"/>
    <n v="2630"/>
    <x v="2"/>
    <n v="10520"/>
  </r>
  <r>
    <n v="10148"/>
    <x v="26"/>
    <x v="11"/>
    <x v="2"/>
    <x v="0"/>
    <n v="3"/>
    <n v="1481.43"/>
    <x v="3"/>
    <n v="4444.29"/>
  </r>
  <r>
    <n v="10149"/>
    <x v="122"/>
    <x v="11"/>
    <x v="5"/>
    <x v="0"/>
    <n v="5"/>
    <n v="52993.14"/>
    <x v="0"/>
    <n v="264965.7"/>
  </r>
  <r>
    <n v="10150"/>
    <x v="88"/>
    <x v="0"/>
    <x v="5"/>
    <x v="0"/>
    <n v="5"/>
    <n v="49079.91"/>
    <x v="1"/>
    <n v="245399.55000000002"/>
  </r>
  <r>
    <n v="10151"/>
    <x v="123"/>
    <x v="11"/>
    <x v="0"/>
    <x v="0"/>
    <n v="2"/>
    <n v="499.84"/>
    <x v="2"/>
    <n v="999.68"/>
  </r>
  <r>
    <n v="10152"/>
    <x v="17"/>
    <x v="3"/>
    <x v="3"/>
    <x v="1"/>
    <n v="4"/>
    <n v="7468.61"/>
    <x v="0"/>
    <n v="29874.44"/>
  </r>
  <r>
    <n v="10153"/>
    <x v="70"/>
    <x v="2"/>
    <x v="2"/>
    <x v="0"/>
    <n v="4"/>
    <n v="1407.18"/>
    <x v="0"/>
    <n v="5628.72"/>
  </r>
  <r>
    <n v="10154"/>
    <x v="91"/>
    <x v="6"/>
    <x v="3"/>
    <x v="1"/>
    <n v="4"/>
    <n v="6775.83"/>
    <x v="2"/>
    <n v="27103.32"/>
  </r>
  <r>
    <n v="10155"/>
    <x v="124"/>
    <x v="2"/>
    <x v="3"/>
    <x v="1"/>
    <n v="3"/>
    <n v="7472.47"/>
    <x v="3"/>
    <n v="22417.41"/>
  </r>
  <r>
    <n v="10156"/>
    <x v="125"/>
    <x v="5"/>
    <x v="7"/>
    <x v="0"/>
    <n v="5"/>
    <n v="2492.17"/>
    <x v="3"/>
    <n v="12460.85"/>
  </r>
  <r>
    <n v="10157"/>
    <x v="70"/>
    <x v="0"/>
    <x v="4"/>
    <x v="1"/>
    <n v="2"/>
    <n v="13153.86"/>
    <x v="3"/>
    <n v="26307.72"/>
  </r>
  <r>
    <n v="10158"/>
    <x v="126"/>
    <x v="3"/>
    <x v="6"/>
    <x v="0"/>
    <n v="1"/>
    <n v="8672.7199999999993"/>
    <x v="3"/>
    <n v="8672.7199999999993"/>
  </r>
  <r>
    <n v="10159"/>
    <x v="127"/>
    <x v="4"/>
    <x v="2"/>
    <x v="0"/>
    <n v="4"/>
    <n v="1639.45"/>
    <x v="2"/>
    <n v="6557.8"/>
  </r>
  <r>
    <n v="10160"/>
    <x v="100"/>
    <x v="3"/>
    <x v="7"/>
    <x v="0"/>
    <n v="1"/>
    <n v="2512.98"/>
    <x v="1"/>
    <n v="2512.98"/>
  </r>
  <r>
    <n v="10161"/>
    <x v="15"/>
    <x v="8"/>
    <x v="6"/>
    <x v="0"/>
    <n v="2"/>
    <n v="8234.69"/>
    <x v="2"/>
    <n v="16469.38"/>
  </r>
  <r>
    <n v="10162"/>
    <x v="128"/>
    <x v="7"/>
    <x v="6"/>
    <x v="0"/>
    <n v="1"/>
    <n v="9633.18"/>
    <x v="3"/>
    <n v="9633.18"/>
  </r>
  <r>
    <n v="10163"/>
    <x v="129"/>
    <x v="9"/>
    <x v="7"/>
    <x v="0"/>
    <n v="5"/>
    <n v="2267.9499999999998"/>
    <x v="0"/>
    <n v="11339.75"/>
  </r>
  <r>
    <n v="10164"/>
    <x v="130"/>
    <x v="1"/>
    <x v="3"/>
    <x v="1"/>
    <n v="2"/>
    <n v="7345.47"/>
    <x v="1"/>
    <n v="14690.94"/>
  </r>
  <r>
    <n v="10165"/>
    <x v="131"/>
    <x v="8"/>
    <x v="0"/>
    <x v="0"/>
    <n v="4"/>
    <n v="466.64"/>
    <x v="1"/>
    <n v="1866.56"/>
  </r>
  <r>
    <n v="10166"/>
    <x v="132"/>
    <x v="5"/>
    <x v="4"/>
    <x v="1"/>
    <n v="1"/>
    <n v="11504.08"/>
    <x v="3"/>
    <n v="11504.08"/>
  </r>
  <r>
    <n v="10167"/>
    <x v="133"/>
    <x v="7"/>
    <x v="1"/>
    <x v="0"/>
    <n v="5"/>
    <n v="11788.92"/>
    <x v="0"/>
    <n v="58944.6"/>
  </r>
  <r>
    <n v="10168"/>
    <x v="134"/>
    <x v="1"/>
    <x v="2"/>
    <x v="0"/>
    <n v="1"/>
    <n v="1532.85"/>
    <x v="0"/>
    <n v="1532.85"/>
  </r>
  <r>
    <n v="10169"/>
    <x v="135"/>
    <x v="8"/>
    <x v="2"/>
    <x v="0"/>
    <n v="2"/>
    <n v="1488.34"/>
    <x v="3"/>
    <n v="2976.68"/>
  </r>
  <r>
    <n v="10170"/>
    <x v="136"/>
    <x v="7"/>
    <x v="5"/>
    <x v="0"/>
    <n v="4"/>
    <n v="54012.09"/>
    <x v="0"/>
    <n v="216048.36"/>
  </r>
  <r>
    <n v="10171"/>
    <x v="137"/>
    <x v="8"/>
    <x v="7"/>
    <x v="0"/>
    <n v="3"/>
    <n v="2743.83"/>
    <x v="3"/>
    <n v="8231.49"/>
  </r>
  <r>
    <n v="10172"/>
    <x v="138"/>
    <x v="0"/>
    <x v="3"/>
    <x v="1"/>
    <n v="4"/>
    <n v="7483.43"/>
    <x v="3"/>
    <n v="29933.72"/>
  </r>
  <r>
    <n v="10173"/>
    <x v="139"/>
    <x v="5"/>
    <x v="0"/>
    <x v="0"/>
    <n v="2"/>
    <n v="488.14"/>
    <x v="2"/>
    <n v="976.28"/>
  </r>
  <r>
    <n v="10174"/>
    <x v="140"/>
    <x v="7"/>
    <x v="3"/>
    <x v="1"/>
    <n v="1"/>
    <n v="7669.12"/>
    <x v="3"/>
    <n v="7669.12"/>
  </r>
  <r>
    <n v="10175"/>
    <x v="141"/>
    <x v="11"/>
    <x v="5"/>
    <x v="0"/>
    <n v="5"/>
    <n v="53650.67"/>
    <x v="1"/>
    <n v="268253.34999999998"/>
  </r>
  <r>
    <n v="10176"/>
    <x v="61"/>
    <x v="0"/>
    <x v="7"/>
    <x v="0"/>
    <n v="3"/>
    <n v="2637.87"/>
    <x v="2"/>
    <n v="7913.61"/>
  </r>
  <r>
    <n v="10177"/>
    <x v="142"/>
    <x v="11"/>
    <x v="1"/>
    <x v="0"/>
    <n v="5"/>
    <n v="11401.5"/>
    <x v="0"/>
    <n v="57007.5"/>
  </r>
  <r>
    <n v="10178"/>
    <x v="18"/>
    <x v="3"/>
    <x v="0"/>
    <x v="0"/>
    <n v="1"/>
    <n v="480.89"/>
    <x v="1"/>
    <n v="480.89"/>
  </r>
  <r>
    <n v="10179"/>
    <x v="143"/>
    <x v="8"/>
    <x v="4"/>
    <x v="1"/>
    <n v="2"/>
    <n v="11016.32"/>
    <x v="2"/>
    <n v="22032.639999999999"/>
  </r>
  <r>
    <n v="10180"/>
    <x v="144"/>
    <x v="6"/>
    <x v="2"/>
    <x v="0"/>
    <n v="2"/>
    <n v="1389.65"/>
    <x v="2"/>
    <n v="2779.3"/>
  </r>
  <r>
    <n v="10181"/>
    <x v="145"/>
    <x v="3"/>
    <x v="3"/>
    <x v="1"/>
    <n v="2"/>
    <n v="6659.76"/>
    <x v="2"/>
    <n v="13319.52"/>
  </r>
  <r>
    <n v="10182"/>
    <x v="146"/>
    <x v="4"/>
    <x v="0"/>
    <x v="0"/>
    <n v="4"/>
    <n v="546.29"/>
    <x v="0"/>
    <n v="2185.16"/>
  </r>
  <r>
    <n v="10183"/>
    <x v="147"/>
    <x v="1"/>
    <x v="6"/>
    <x v="0"/>
    <n v="5"/>
    <n v="8758.4"/>
    <x v="1"/>
    <n v="43792"/>
  </r>
  <r>
    <n v="10184"/>
    <x v="148"/>
    <x v="11"/>
    <x v="0"/>
    <x v="0"/>
    <n v="4"/>
    <n v="486.86"/>
    <x v="2"/>
    <n v="1947.44"/>
  </r>
  <r>
    <n v="10185"/>
    <x v="16"/>
    <x v="0"/>
    <x v="6"/>
    <x v="0"/>
    <n v="3"/>
    <n v="8295.02"/>
    <x v="3"/>
    <n v="24885.06"/>
  </r>
  <r>
    <n v="10186"/>
    <x v="56"/>
    <x v="9"/>
    <x v="4"/>
    <x v="1"/>
    <n v="5"/>
    <n v="11331.28"/>
    <x v="3"/>
    <n v="56656.4"/>
  </r>
  <r>
    <n v="10187"/>
    <x v="140"/>
    <x v="10"/>
    <x v="3"/>
    <x v="1"/>
    <n v="4"/>
    <n v="6463.35"/>
    <x v="1"/>
    <n v="25853.4"/>
  </r>
  <r>
    <n v="10188"/>
    <x v="149"/>
    <x v="6"/>
    <x v="7"/>
    <x v="0"/>
    <n v="1"/>
    <n v="2298.6"/>
    <x v="0"/>
    <n v="2298.6"/>
  </r>
  <r>
    <n v="10189"/>
    <x v="150"/>
    <x v="11"/>
    <x v="7"/>
    <x v="0"/>
    <n v="3"/>
    <n v="2585.2399999999998"/>
    <x v="3"/>
    <n v="7755.7199999999993"/>
  </r>
  <r>
    <n v="10190"/>
    <x v="151"/>
    <x v="3"/>
    <x v="2"/>
    <x v="0"/>
    <n v="4"/>
    <n v="1546.48"/>
    <x v="3"/>
    <n v="6185.92"/>
  </r>
  <r>
    <n v="10191"/>
    <x v="152"/>
    <x v="3"/>
    <x v="5"/>
    <x v="0"/>
    <n v="3"/>
    <n v="47172.7"/>
    <x v="0"/>
    <n v="141518.09999999998"/>
  </r>
  <r>
    <n v="10192"/>
    <x v="153"/>
    <x v="7"/>
    <x v="0"/>
    <x v="0"/>
    <n v="3"/>
    <n v="504.45"/>
    <x v="2"/>
    <n v="1513.35"/>
  </r>
  <r>
    <n v="10193"/>
    <x v="80"/>
    <x v="9"/>
    <x v="6"/>
    <x v="0"/>
    <n v="3"/>
    <n v="8441.66"/>
    <x v="3"/>
    <n v="25324.98"/>
  </r>
  <r>
    <n v="10194"/>
    <x v="154"/>
    <x v="10"/>
    <x v="1"/>
    <x v="0"/>
    <n v="5"/>
    <n v="13130.62"/>
    <x v="2"/>
    <n v="65653.100000000006"/>
  </r>
  <r>
    <n v="10195"/>
    <x v="31"/>
    <x v="6"/>
    <x v="2"/>
    <x v="0"/>
    <n v="5"/>
    <n v="1411.56"/>
    <x v="0"/>
    <n v="7057.7999999999993"/>
  </r>
  <r>
    <n v="10196"/>
    <x v="151"/>
    <x v="4"/>
    <x v="1"/>
    <x v="0"/>
    <n v="2"/>
    <n v="11588.54"/>
    <x v="1"/>
    <n v="23177.08"/>
  </r>
  <r>
    <n v="10197"/>
    <x v="155"/>
    <x v="4"/>
    <x v="2"/>
    <x v="0"/>
    <n v="2"/>
    <n v="1512.06"/>
    <x v="1"/>
    <n v="3024.12"/>
  </r>
  <r>
    <n v="10198"/>
    <x v="156"/>
    <x v="0"/>
    <x v="5"/>
    <x v="0"/>
    <n v="2"/>
    <n v="45148.6"/>
    <x v="2"/>
    <n v="90297.2"/>
  </r>
  <r>
    <n v="10199"/>
    <x v="157"/>
    <x v="11"/>
    <x v="2"/>
    <x v="0"/>
    <n v="3"/>
    <n v="1365.72"/>
    <x v="3"/>
    <n v="4097.16"/>
  </r>
  <r>
    <n v="10200"/>
    <x v="158"/>
    <x v="5"/>
    <x v="0"/>
    <x v="0"/>
    <n v="1"/>
    <n v="497.62"/>
    <x v="1"/>
    <n v="497.62"/>
  </r>
  <r>
    <n v="10201"/>
    <x v="159"/>
    <x v="7"/>
    <x v="1"/>
    <x v="0"/>
    <n v="5"/>
    <n v="10904.08"/>
    <x v="2"/>
    <n v="54520.4"/>
  </r>
  <r>
    <n v="10202"/>
    <x v="46"/>
    <x v="1"/>
    <x v="5"/>
    <x v="0"/>
    <n v="1"/>
    <n v="54985.87"/>
    <x v="3"/>
    <n v="54985.87"/>
  </r>
  <r>
    <n v="10203"/>
    <x v="160"/>
    <x v="3"/>
    <x v="0"/>
    <x v="0"/>
    <n v="4"/>
    <n v="521.24"/>
    <x v="1"/>
    <n v="2084.96"/>
  </r>
  <r>
    <n v="10204"/>
    <x v="85"/>
    <x v="4"/>
    <x v="4"/>
    <x v="1"/>
    <n v="5"/>
    <n v="11156"/>
    <x v="2"/>
    <n v="55780"/>
  </r>
  <r>
    <n v="10205"/>
    <x v="128"/>
    <x v="6"/>
    <x v="4"/>
    <x v="1"/>
    <n v="4"/>
    <n v="13187.11"/>
    <x v="2"/>
    <n v="52748.44"/>
  </r>
  <r>
    <n v="10206"/>
    <x v="38"/>
    <x v="9"/>
    <x v="6"/>
    <x v="0"/>
    <n v="1"/>
    <n v="9527.57"/>
    <x v="0"/>
    <n v="9527.57"/>
  </r>
  <r>
    <n v="10207"/>
    <x v="161"/>
    <x v="3"/>
    <x v="7"/>
    <x v="0"/>
    <n v="2"/>
    <n v="2456.91"/>
    <x v="3"/>
    <n v="4913.82"/>
  </r>
  <r>
    <n v="10208"/>
    <x v="144"/>
    <x v="7"/>
    <x v="0"/>
    <x v="0"/>
    <n v="3"/>
    <n v="492.68"/>
    <x v="2"/>
    <n v="1478.04"/>
  </r>
  <r>
    <n v="10209"/>
    <x v="162"/>
    <x v="9"/>
    <x v="2"/>
    <x v="0"/>
    <n v="4"/>
    <n v="1370.14"/>
    <x v="1"/>
    <n v="5480.56"/>
  </r>
  <r>
    <n v="10210"/>
    <x v="92"/>
    <x v="6"/>
    <x v="0"/>
    <x v="0"/>
    <n v="3"/>
    <n v="531.17999999999995"/>
    <x v="1"/>
    <n v="1593.54"/>
  </r>
  <r>
    <n v="10211"/>
    <x v="151"/>
    <x v="7"/>
    <x v="4"/>
    <x v="1"/>
    <n v="1"/>
    <n v="11785.94"/>
    <x v="3"/>
    <n v="11785.94"/>
  </r>
  <r>
    <n v="10212"/>
    <x v="163"/>
    <x v="9"/>
    <x v="3"/>
    <x v="1"/>
    <n v="5"/>
    <n v="6737.43"/>
    <x v="0"/>
    <n v="33687.15"/>
  </r>
  <r>
    <n v="10213"/>
    <x v="39"/>
    <x v="5"/>
    <x v="7"/>
    <x v="0"/>
    <n v="2"/>
    <n v="2673.64"/>
    <x v="2"/>
    <n v="5347.28"/>
  </r>
  <r>
    <n v="10214"/>
    <x v="164"/>
    <x v="1"/>
    <x v="3"/>
    <x v="1"/>
    <n v="5"/>
    <n v="6616.62"/>
    <x v="1"/>
    <n v="33083.1"/>
  </r>
  <r>
    <n v="10215"/>
    <x v="11"/>
    <x v="11"/>
    <x v="3"/>
    <x v="1"/>
    <n v="1"/>
    <n v="6552.58"/>
    <x v="2"/>
    <n v="6552.58"/>
  </r>
  <r>
    <n v="10216"/>
    <x v="146"/>
    <x v="4"/>
    <x v="4"/>
    <x v="1"/>
    <n v="1"/>
    <n v="11235.37"/>
    <x v="3"/>
    <n v="11235.37"/>
  </r>
  <r>
    <n v="10217"/>
    <x v="91"/>
    <x v="6"/>
    <x v="2"/>
    <x v="0"/>
    <n v="1"/>
    <n v="1377.53"/>
    <x v="0"/>
    <n v="1377.53"/>
  </r>
  <r>
    <n v="10218"/>
    <x v="165"/>
    <x v="5"/>
    <x v="6"/>
    <x v="0"/>
    <n v="4"/>
    <n v="8713.61"/>
    <x v="2"/>
    <n v="34854.44"/>
  </r>
  <r>
    <n v="10219"/>
    <x v="166"/>
    <x v="2"/>
    <x v="0"/>
    <x v="0"/>
    <n v="1"/>
    <n v="465.56"/>
    <x v="1"/>
    <n v="465.56"/>
  </r>
  <r>
    <n v="10220"/>
    <x v="167"/>
    <x v="1"/>
    <x v="0"/>
    <x v="0"/>
    <n v="3"/>
    <n v="494.31"/>
    <x v="3"/>
    <n v="1482.93"/>
  </r>
  <r>
    <n v="10221"/>
    <x v="61"/>
    <x v="6"/>
    <x v="7"/>
    <x v="0"/>
    <n v="4"/>
    <n v="2386.58"/>
    <x v="1"/>
    <n v="9546.32"/>
  </r>
  <r>
    <n v="10222"/>
    <x v="168"/>
    <x v="7"/>
    <x v="6"/>
    <x v="0"/>
    <n v="1"/>
    <n v="8609.84"/>
    <x v="3"/>
    <n v="8609.84"/>
  </r>
  <r>
    <n v="10223"/>
    <x v="158"/>
    <x v="2"/>
    <x v="3"/>
    <x v="1"/>
    <n v="1"/>
    <n v="6608.73"/>
    <x v="1"/>
    <n v="6608.73"/>
  </r>
  <r>
    <n v="10224"/>
    <x v="4"/>
    <x v="4"/>
    <x v="1"/>
    <x v="0"/>
    <n v="3"/>
    <n v="13068.78"/>
    <x v="2"/>
    <n v="39206.340000000004"/>
  </r>
  <r>
    <n v="10225"/>
    <x v="169"/>
    <x v="11"/>
    <x v="4"/>
    <x v="1"/>
    <n v="1"/>
    <n v="10818.55"/>
    <x v="3"/>
    <n v="10818.55"/>
  </r>
  <r>
    <n v="10226"/>
    <x v="170"/>
    <x v="0"/>
    <x v="2"/>
    <x v="0"/>
    <n v="4"/>
    <n v="1509.77"/>
    <x v="2"/>
    <n v="6039.08"/>
  </r>
  <r>
    <n v="10227"/>
    <x v="110"/>
    <x v="3"/>
    <x v="6"/>
    <x v="0"/>
    <n v="1"/>
    <n v="8885.2000000000007"/>
    <x v="1"/>
    <n v="8885.2000000000007"/>
  </r>
  <r>
    <n v="10228"/>
    <x v="40"/>
    <x v="7"/>
    <x v="6"/>
    <x v="0"/>
    <n v="5"/>
    <n v="8827.9599999999991"/>
    <x v="3"/>
    <n v="44139.799999999996"/>
  </r>
  <r>
    <n v="10229"/>
    <x v="169"/>
    <x v="5"/>
    <x v="0"/>
    <x v="0"/>
    <n v="4"/>
    <n v="452.09"/>
    <x v="0"/>
    <n v="1808.36"/>
  </r>
  <r>
    <n v="10230"/>
    <x v="171"/>
    <x v="9"/>
    <x v="7"/>
    <x v="0"/>
    <n v="3"/>
    <n v="2294.06"/>
    <x v="0"/>
    <n v="6882.18"/>
  </r>
  <r>
    <n v="10231"/>
    <x v="172"/>
    <x v="8"/>
    <x v="6"/>
    <x v="0"/>
    <n v="5"/>
    <n v="8241.56"/>
    <x v="2"/>
    <n v="41207.799999999996"/>
  </r>
  <r>
    <n v="10232"/>
    <x v="58"/>
    <x v="7"/>
    <x v="4"/>
    <x v="1"/>
    <n v="2"/>
    <n v="10983.31"/>
    <x v="1"/>
    <n v="21966.62"/>
  </r>
  <r>
    <n v="10233"/>
    <x v="145"/>
    <x v="7"/>
    <x v="1"/>
    <x v="0"/>
    <n v="3"/>
    <n v="11642.64"/>
    <x v="0"/>
    <n v="34927.919999999998"/>
  </r>
  <r>
    <n v="10234"/>
    <x v="77"/>
    <x v="4"/>
    <x v="0"/>
    <x v="0"/>
    <n v="2"/>
    <n v="475.6"/>
    <x v="0"/>
    <n v="951.2"/>
  </r>
  <r>
    <n v="10235"/>
    <x v="173"/>
    <x v="7"/>
    <x v="0"/>
    <x v="0"/>
    <n v="2"/>
    <n v="545.13"/>
    <x v="3"/>
    <n v="1090.26"/>
  </r>
  <r>
    <n v="10236"/>
    <x v="174"/>
    <x v="2"/>
    <x v="7"/>
    <x v="0"/>
    <n v="5"/>
    <n v="2571.5"/>
    <x v="2"/>
    <n v="12857.5"/>
  </r>
  <r>
    <n v="10237"/>
    <x v="18"/>
    <x v="3"/>
    <x v="4"/>
    <x v="1"/>
    <n v="2"/>
    <n v="11855.43"/>
    <x v="3"/>
    <n v="23710.86"/>
  </r>
  <r>
    <n v="10238"/>
    <x v="130"/>
    <x v="5"/>
    <x v="3"/>
    <x v="1"/>
    <n v="3"/>
    <n v="7127.99"/>
    <x v="1"/>
    <n v="21383.97"/>
  </r>
  <r>
    <n v="10239"/>
    <x v="175"/>
    <x v="5"/>
    <x v="7"/>
    <x v="0"/>
    <n v="4"/>
    <n v="2268.8000000000002"/>
    <x v="2"/>
    <n v="9075.2000000000007"/>
  </r>
  <r>
    <n v="10240"/>
    <x v="176"/>
    <x v="1"/>
    <x v="0"/>
    <x v="0"/>
    <n v="5"/>
    <n v="509.41"/>
    <x v="3"/>
    <n v="2547.0500000000002"/>
  </r>
  <r>
    <n v="10241"/>
    <x v="177"/>
    <x v="2"/>
    <x v="5"/>
    <x v="0"/>
    <n v="4"/>
    <n v="54090.5"/>
    <x v="0"/>
    <n v="216362"/>
  </r>
  <r>
    <n v="10242"/>
    <x v="117"/>
    <x v="10"/>
    <x v="7"/>
    <x v="0"/>
    <n v="5"/>
    <n v="2325.4299999999998"/>
    <x v="3"/>
    <n v="11627.15"/>
  </r>
  <r>
    <n v="10243"/>
    <x v="178"/>
    <x v="4"/>
    <x v="4"/>
    <x v="1"/>
    <n v="1"/>
    <n v="12010.92"/>
    <x v="1"/>
    <n v="12010.92"/>
  </r>
  <r>
    <n v="10244"/>
    <x v="179"/>
    <x v="2"/>
    <x v="7"/>
    <x v="0"/>
    <n v="4"/>
    <n v="2512.0300000000002"/>
    <x v="0"/>
    <n v="10048.120000000001"/>
  </r>
  <r>
    <n v="10245"/>
    <x v="63"/>
    <x v="5"/>
    <x v="4"/>
    <x v="1"/>
    <n v="3"/>
    <n v="11729.8"/>
    <x v="1"/>
    <n v="35189.399999999994"/>
  </r>
  <r>
    <n v="10246"/>
    <x v="130"/>
    <x v="6"/>
    <x v="4"/>
    <x v="1"/>
    <n v="1"/>
    <n v="11591.26"/>
    <x v="3"/>
    <n v="11591.26"/>
  </r>
  <r>
    <n v="10247"/>
    <x v="180"/>
    <x v="5"/>
    <x v="3"/>
    <x v="1"/>
    <n v="5"/>
    <n v="7522.59"/>
    <x v="1"/>
    <n v="37612.949999999997"/>
  </r>
  <r>
    <n v="10248"/>
    <x v="181"/>
    <x v="7"/>
    <x v="2"/>
    <x v="0"/>
    <n v="3"/>
    <n v="1443.07"/>
    <x v="3"/>
    <n v="4329.21"/>
  </r>
  <r>
    <n v="10249"/>
    <x v="182"/>
    <x v="7"/>
    <x v="0"/>
    <x v="0"/>
    <n v="3"/>
    <n v="505.89"/>
    <x v="2"/>
    <n v="1517.67"/>
  </r>
  <r>
    <n v="10250"/>
    <x v="54"/>
    <x v="10"/>
    <x v="0"/>
    <x v="0"/>
    <n v="4"/>
    <n v="500.85"/>
    <x v="2"/>
    <n v="2003.4"/>
  </r>
  <r>
    <n v="10251"/>
    <x v="175"/>
    <x v="3"/>
    <x v="2"/>
    <x v="0"/>
    <n v="2"/>
    <n v="1452.52"/>
    <x v="0"/>
    <n v="2905.04"/>
  </r>
  <r>
    <n v="10252"/>
    <x v="183"/>
    <x v="9"/>
    <x v="2"/>
    <x v="0"/>
    <n v="2"/>
    <n v="1373.15"/>
    <x v="1"/>
    <n v="2746.3"/>
  </r>
  <r>
    <n v="10253"/>
    <x v="156"/>
    <x v="1"/>
    <x v="4"/>
    <x v="1"/>
    <n v="5"/>
    <n v="11114.52"/>
    <x v="0"/>
    <n v="55572.600000000006"/>
  </r>
  <r>
    <n v="10254"/>
    <x v="10"/>
    <x v="4"/>
    <x v="2"/>
    <x v="0"/>
    <n v="5"/>
    <n v="1592.71"/>
    <x v="3"/>
    <n v="7963.55"/>
  </r>
  <r>
    <n v="10255"/>
    <x v="62"/>
    <x v="0"/>
    <x v="6"/>
    <x v="0"/>
    <n v="3"/>
    <n v="9317.4500000000007"/>
    <x v="3"/>
    <n v="27952.350000000002"/>
  </r>
  <r>
    <n v="10256"/>
    <x v="184"/>
    <x v="0"/>
    <x v="3"/>
    <x v="1"/>
    <n v="4"/>
    <n v="6627.6"/>
    <x v="2"/>
    <n v="26510.400000000001"/>
  </r>
  <r>
    <n v="10257"/>
    <x v="103"/>
    <x v="2"/>
    <x v="1"/>
    <x v="0"/>
    <n v="3"/>
    <n v="12427.94"/>
    <x v="3"/>
    <n v="37283.82"/>
  </r>
  <r>
    <n v="10258"/>
    <x v="123"/>
    <x v="1"/>
    <x v="3"/>
    <x v="1"/>
    <n v="4"/>
    <n v="7004.07"/>
    <x v="0"/>
    <n v="28016.28"/>
  </r>
  <r>
    <n v="10259"/>
    <x v="185"/>
    <x v="3"/>
    <x v="2"/>
    <x v="0"/>
    <n v="3"/>
    <n v="1365.65"/>
    <x v="2"/>
    <n v="4096.9500000000007"/>
  </r>
  <r>
    <n v="10260"/>
    <x v="186"/>
    <x v="8"/>
    <x v="0"/>
    <x v="0"/>
    <n v="5"/>
    <n v="535.12"/>
    <x v="1"/>
    <n v="2675.6"/>
  </r>
  <r>
    <n v="10261"/>
    <x v="187"/>
    <x v="4"/>
    <x v="3"/>
    <x v="1"/>
    <n v="4"/>
    <n v="7567.43"/>
    <x v="3"/>
    <n v="30269.72"/>
  </r>
  <r>
    <n v="10262"/>
    <x v="154"/>
    <x v="10"/>
    <x v="1"/>
    <x v="0"/>
    <n v="4"/>
    <n v="12923.11"/>
    <x v="3"/>
    <n v="51692.44"/>
  </r>
  <r>
    <n v="10263"/>
    <x v="188"/>
    <x v="1"/>
    <x v="6"/>
    <x v="0"/>
    <n v="5"/>
    <n v="8773.1299999999992"/>
    <x v="1"/>
    <n v="43865.649999999994"/>
  </r>
  <r>
    <n v="10264"/>
    <x v="162"/>
    <x v="9"/>
    <x v="1"/>
    <x v="0"/>
    <n v="1"/>
    <n v="11564.84"/>
    <x v="2"/>
    <n v="11564.84"/>
  </r>
  <r>
    <n v="10265"/>
    <x v="133"/>
    <x v="3"/>
    <x v="2"/>
    <x v="0"/>
    <n v="1"/>
    <n v="1436.06"/>
    <x v="0"/>
    <n v="1436.06"/>
  </r>
  <r>
    <n v="10266"/>
    <x v="189"/>
    <x v="9"/>
    <x v="7"/>
    <x v="0"/>
    <n v="4"/>
    <n v="2557.67"/>
    <x v="1"/>
    <n v="10230.68"/>
  </r>
  <r>
    <n v="10267"/>
    <x v="190"/>
    <x v="11"/>
    <x v="1"/>
    <x v="0"/>
    <n v="2"/>
    <n v="12117.13"/>
    <x v="3"/>
    <n v="24234.26"/>
  </r>
  <r>
    <n v="10268"/>
    <x v="191"/>
    <x v="10"/>
    <x v="3"/>
    <x v="1"/>
    <n v="2"/>
    <n v="6721.61"/>
    <x v="0"/>
    <n v="13443.22"/>
  </r>
  <r>
    <n v="10269"/>
    <x v="192"/>
    <x v="3"/>
    <x v="7"/>
    <x v="0"/>
    <n v="1"/>
    <n v="2305.4299999999998"/>
    <x v="1"/>
    <n v="2305.4299999999998"/>
  </r>
  <r>
    <n v="10270"/>
    <x v="130"/>
    <x v="10"/>
    <x v="1"/>
    <x v="0"/>
    <n v="2"/>
    <n v="11499.05"/>
    <x v="2"/>
    <n v="22998.1"/>
  </r>
  <r>
    <n v="10271"/>
    <x v="193"/>
    <x v="9"/>
    <x v="6"/>
    <x v="0"/>
    <n v="2"/>
    <n v="9295.8700000000008"/>
    <x v="2"/>
    <n v="18591.740000000002"/>
  </r>
  <r>
    <n v="10272"/>
    <x v="194"/>
    <x v="10"/>
    <x v="5"/>
    <x v="0"/>
    <n v="4"/>
    <n v="53733.31"/>
    <x v="3"/>
    <n v="214933.24"/>
  </r>
  <r>
    <n v="10273"/>
    <x v="162"/>
    <x v="9"/>
    <x v="3"/>
    <x v="1"/>
    <n v="1"/>
    <n v="6799.93"/>
    <x v="2"/>
    <n v="6799.93"/>
  </r>
  <r>
    <n v="10274"/>
    <x v="193"/>
    <x v="5"/>
    <x v="0"/>
    <x v="0"/>
    <n v="5"/>
    <n v="523.52"/>
    <x v="0"/>
    <n v="2617.6"/>
  </r>
  <r>
    <n v="10275"/>
    <x v="62"/>
    <x v="7"/>
    <x v="4"/>
    <x v="1"/>
    <n v="5"/>
    <n v="11612.51"/>
    <x v="0"/>
    <n v="58062.55"/>
  </r>
  <r>
    <n v="10276"/>
    <x v="195"/>
    <x v="4"/>
    <x v="7"/>
    <x v="0"/>
    <n v="4"/>
    <n v="2565.87"/>
    <x v="1"/>
    <n v="10263.48"/>
  </r>
  <r>
    <n v="10277"/>
    <x v="46"/>
    <x v="0"/>
    <x v="5"/>
    <x v="0"/>
    <n v="3"/>
    <n v="47015.91"/>
    <x v="1"/>
    <n v="141047.73000000001"/>
  </r>
  <r>
    <n v="10278"/>
    <x v="196"/>
    <x v="6"/>
    <x v="3"/>
    <x v="1"/>
    <n v="5"/>
    <n v="6857.51"/>
    <x v="3"/>
    <n v="34287.550000000003"/>
  </r>
  <r>
    <n v="10279"/>
    <x v="119"/>
    <x v="10"/>
    <x v="5"/>
    <x v="0"/>
    <n v="2"/>
    <n v="47861.11"/>
    <x v="2"/>
    <n v="95722.22"/>
  </r>
  <r>
    <n v="10280"/>
    <x v="113"/>
    <x v="1"/>
    <x v="0"/>
    <x v="0"/>
    <n v="3"/>
    <n v="493.7"/>
    <x v="3"/>
    <n v="1481.1"/>
  </r>
  <r>
    <n v="10281"/>
    <x v="127"/>
    <x v="3"/>
    <x v="4"/>
    <x v="1"/>
    <n v="2"/>
    <n v="11990.89"/>
    <x v="2"/>
    <n v="23981.78"/>
  </r>
  <r>
    <n v="10282"/>
    <x v="115"/>
    <x v="9"/>
    <x v="3"/>
    <x v="1"/>
    <n v="1"/>
    <n v="7317.91"/>
    <x v="3"/>
    <n v="7317.91"/>
  </r>
  <r>
    <n v="10283"/>
    <x v="197"/>
    <x v="9"/>
    <x v="2"/>
    <x v="0"/>
    <n v="5"/>
    <n v="1438.13"/>
    <x v="1"/>
    <n v="7190.6500000000005"/>
  </r>
  <r>
    <n v="10284"/>
    <x v="65"/>
    <x v="11"/>
    <x v="3"/>
    <x v="1"/>
    <n v="3"/>
    <n v="6924.28"/>
    <x v="3"/>
    <n v="20772.84"/>
  </r>
  <r>
    <n v="10285"/>
    <x v="198"/>
    <x v="11"/>
    <x v="7"/>
    <x v="0"/>
    <n v="3"/>
    <n v="2473.56"/>
    <x v="2"/>
    <n v="7420.68"/>
  </r>
  <r>
    <n v="10286"/>
    <x v="199"/>
    <x v="10"/>
    <x v="6"/>
    <x v="0"/>
    <n v="3"/>
    <n v="9251.0400000000009"/>
    <x v="1"/>
    <n v="27753.120000000003"/>
  </r>
  <r>
    <n v="10287"/>
    <x v="45"/>
    <x v="11"/>
    <x v="6"/>
    <x v="0"/>
    <n v="3"/>
    <n v="9023.5499999999993"/>
    <x v="0"/>
    <n v="27070.649999999998"/>
  </r>
  <r>
    <n v="10288"/>
    <x v="2"/>
    <x v="3"/>
    <x v="2"/>
    <x v="0"/>
    <n v="5"/>
    <n v="1553.43"/>
    <x v="1"/>
    <n v="7767.1500000000005"/>
  </r>
  <r>
    <n v="10289"/>
    <x v="200"/>
    <x v="5"/>
    <x v="0"/>
    <x v="0"/>
    <n v="2"/>
    <n v="527.85"/>
    <x v="2"/>
    <n v="1055.7"/>
  </r>
  <r>
    <n v="10290"/>
    <x v="201"/>
    <x v="3"/>
    <x v="5"/>
    <x v="0"/>
    <n v="5"/>
    <n v="46534.38"/>
    <x v="2"/>
    <n v="232671.9"/>
  </r>
  <r>
    <n v="10291"/>
    <x v="202"/>
    <x v="6"/>
    <x v="7"/>
    <x v="0"/>
    <n v="1"/>
    <n v="2536.96"/>
    <x v="2"/>
    <n v="2536.96"/>
  </r>
  <r>
    <n v="10292"/>
    <x v="203"/>
    <x v="9"/>
    <x v="4"/>
    <x v="1"/>
    <n v="3"/>
    <n v="11399.07"/>
    <x v="1"/>
    <n v="34197.21"/>
  </r>
  <r>
    <n v="10293"/>
    <x v="204"/>
    <x v="6"/>
    <x v="7"/>
    <x v="0"/>
    <n v="5"/>
    <n v="2443.4899999999998"/>
    <x v="1"/>
    <n v="12217.449999999999"/>
  </r>
  <r>
    <n v="10294"/>
    <x v="205"/>
    <x v="2"/>
    <x v="3"/>
    <x v="1"/>
    <n v="4"/>
    <n v="6600.4"/>
    <x v="2"/>
    <n v="26401.599999999999"/>
  </r>
  <r>
    <n v="10295"/>
    <x v="206"/>
    <x v="9"/>
    <x v="7"/>
    <x v="0"/>
    <n v="2"/>
    <n v="2311.3200000000002"/>
    <x v="3"/>
    <n v="4622.6400000000003"/>
  </r>
  <r>
    <n v="10296"/>
    <x v="108"/>
    <x v="5"/>
    <x v="7"/>
    <x v="0"/>
    <n v="1"/>
    <n v="2655.26"/>
    <x v="2"/>
    <n v="2655.26"/>
  </r>
  <r>
    <n v="10297"/>
    <x v="207"/>
    <x v="8"/>
    <x v="0"/>
    <x v="0"/>
    <n v="5"/>
    <n v="504.22"/>
    <x v="0"/>
    <n v="2521.1000000000004"/>
  </r>
  <r>
    <n v="10298"/>
    <x v="208"/>
    <x v="9"/>
    <x v="2"/>
    <x v="0"/>
    <n v="3"/>
    <n v="1502.63"/>
    <x v="0"/>
    <n v="4507.8900000000003"/>
  </r>
  <r>
    <n v="10299"/>
    <x v="1"/>
    <x v="6"/>
    <x v="1"/>
    <x v="0"/>
    <n v="4"/>
    <n v="10863.08"/>
    <x v="2"/>
    <n v="43452.32"/>
  </r>
  <r>
    <n v="10300"/>
    <x v="209"/>
    <x v="9"/>
    <x v="2"/>
    <x v="0"/>
    <n v="5"/>
    <n v="1615.27"/>
    <x v="2"/>
    <n v="8076.35"/>
  </r>
  <r>
    <n v="10301"/>
    <x v="203"/>
    <x v="1"/>
    <x v="7"/>
    <x v="0"/>
    <n v="5"/>
    <n v="2455.4"/>
    <x v="1"/>
    <n v="12277"/>
  </r>
  <r>
    <n v="10302"/>
    <x v="200"/>
    <x v="7"/>
    <x v="4"/>
    <x v="1"/>
    <n v="1"/>
    <n v="11879.94"/>
    <x v="2"/>
    <n v="11879.94"/>
  </r>
  <r>
    <n v="10303"/>
    <x v="54"/>
    <x v="10"/>
    <x v="2"/>
    <x v="0"/>
    <n v="2"/>
    <n v="1479.79"/>
    <x v="1"/>
    <n v="2959.58"/>
  </r>
  <r>
    <n v="10304"/>
    <x v="115"/>
    <x v="5"/>
    <x v="2"/>
    <x v="0"/>
    <n v="3"/>
    <n v="1399.4"/>
    <x v="0"/>
    <n v="4198.2000000000007"/>
  </r>
  <r>
    <n v="10305"/>
    <x v="210"/>
    <x v="7"/>
    <x v="3"/>
    <x v="1"/>
    <n v="1"/>
    <n v="6650.85"/>
    <x v="2"/>
    <n v="6650.85"/>
  </r>
  <r>
    <n v="10306"/>
    <x v="200"/>
    <x v="6"/>
    <x v="3"/>
    <x v="1"/>
    <n v="5"/>
    <n v="7046.87"/>
    <x v="0"/>
    <n v="35234.35"/>
  </r>
  <r>
    <n v="10307"/>
    <x v="89"/>
    <x v="11"/>
    <x v="2"/>
    <x v="0"/>
    <n v="2"/>
    <n v="1547.62"/>
    <x v="2"/>
    <n v="3095.24"/>
  </r>
  <r>
    <n v="10308"/>
    <x v="87"/>
    <x v="7"/>
    <x v="5"/>
    <x v="0"/>
    <n v="1"/>
    <n v="45812.23"/>
    <x v="2"/>
    <n v="45812.23"/>
  </r>
  <r>
    <n v="10309"/>
    <x v="211"/>
    <x v="7"/>
    <x v="1"/>
    <x v="0"/>
    <n v="5"/>
    <n v="11799.81"/>
    <x v="1"/>
    <n v="58999.049999999996"/>
  </r>
  <r>
    <n v="10310"/>
    <x v="135"/>
    <x v="7"/>
    <x v="3"/>
    <x v="1"/>
    <n v="3"/>
    <n v="6976.12"/>
    <x v="3"/>
    <n v="20928.36"/>
  </r>
  <r>
    <n v="10311"/>
    <x v="212"/>
    <x v="4"/>
    <x v="7"/>
    <x v="0"/>
    <n v="1"/>
    <n v="2594.31"/>
    <x v="3"/>
    <n v="2594.31"/>
  </r>
  <r>
    <n v="10312"/>
    <x v="144"/>
    <x v="2"/>
    <x v="7"/>
    <x v="0"/>
    <n v="4"/>
    <n v="2352.0100000000002"/>
    <x v="0"/>
    <n v="9408.0400000000009"/>
  </r>
  <r>
    <n v="10313"/>
    <x v="40"/>
    <x v="4"/>
    <x v="4"/>
    <x v="1"/>
    <n v="3"/>
    <n v="13140.9"/>
    <x v="2"/>
    <n v="39422.699999999997"/>
  </r>
  <r>
    <n v="10314"/>
    <x v="213"/>
    <x v="9"/>
    <x v="0"/>
    <x v="0"/>
    <n v="3"/>
    <n v="474.17"/>
    <x v="2"/>
    <n v="1422.51"/>
  </r>
  <r>
    <n v="10315"/>
    <x v="75"/>
    <x v="8"/>
    <x v="1"/>
    <x v="0"/>
    <n v="2"/>
    <n v="11032.35"/>
    <x v="3"/>
    <n v="22064.7"/>
  </r>
  <r>
    <n v="10316"/>
    <x v="214"/>
    <x v="4"/>
    <x v="6"/>
    <x v="0"/>
    <n v="2"/>
    <n v="9832.83"/>
    <x v="2"/>
    <n v="19665.66"/>
  </r>
  <r>
    <n v="10317"/>
    <x v="8"/>
    <x v="3"/>
    <x v="4"/>
    <x v="1"/>
    <n v="2"/>
    <n v="12631.49"/>
    <x v="3"/>
    <n v="25262.98"/>
  </r>
  <r>
    <n v="10318"/>
    <x v="215"/>
    <x v="1"/>
    <x v="3"/>
    <x v="1"/>
    <n v="4"/>
    <n v="6332.45"/>
    <x v="3"/>
    <n v="25329.8"/>
  </r>
  <r>
    <n v="10319"/>
    <x v="193"/>
    <x v="10"/>
    <x v="1"/>
    <x v="0"/>
    <n v="5"/>
    <n v="11646.95"/>
    <x v="2"/>
    <n v="58234.75"/>
  </r>
  <r>
    <n v="10320"/>
    <x v="71"/>
    <x v="9"/>
    <x v="7"/>
    <x v="0"/>
    <n v="3"/>
    <n v="2518.35"/>
    <x v="3"/>
    <n v="7555.0499999999993"/>
  </r>
  <r>
    <n v="10321"/>
    <x v="216"/>
    <x v="5"/>
    <x v="3"/>
    <x v="1"/>
    <n v="3"/>
    <n v="7369.4"/>
    <x v="1"/>
    <n v="22108.199999999997"/>
  </r>
  <r>
    <n v="10322"/>
    <x v="37"/>
    <x v="5"/>
    <x v="5"/>
    <x v="0"/>
    <n v="5"/>
    <n v="50618.17"/>
    <x v="2"/>
    <n v="253090.84999999998"/>
  </r>
  <r>
    <n v="10323"/>
    <x v="137"/>
    <x v="6"/>
    <x v="6"/>
    <x v="0"/>
    <n v="5"/>
    <n v="8910.64"/>
    <x v="2"/>
    <n v="44553.2"/>
  </r>
  <r>
    <n v="10324"/>
    <x v="128"/>
    <x v="1"/>
    <x v="0"/>
    <x v="0"/>
    <n v="2"/>
    <n v="547.51"/>
    <x v="2"/>
    <n v="1095.02"/>
  </r>
  <r>
    <n v="10325"/>
    <x v="146"/>
    <x v="6"/>
    <x v="4"/>
    <x v="1"/>
    <n v="2"/>
    <n v="11277.74"/>
    <x v="3"/>
    <n v="22555.48"/>
  </r>
  <r>
    <n v="10326"/>
    <x v="22"/>
    <x v="11"/>
    <x v="5"/>
    <x v="0"/>
    <n v="1"/>
    <n v="45389.14"/>
    <x v="2"/>
    <n v="45389.14"/>
  </r>
  <r>
    <n v="10327"/>
    <x v="97"/>
    <x v="6"/>
    <x v="7"/>
    <x v="0"/>
    <n v="2"/>
    <n v="2553.13"/>
    <x v="0"/>
    <n v="5106.26"/>
  </r>
  <r>
    <n v="10328"/>
    <x v="65"/>
    <x v="2"/>
    <x v="4"/>
    <x v="1"/>
    <n v="2"/>
    <n v="11743.09"/>
    <x v="2"/>
    <n v="23486.18"/>
  </r>
  <r>
    <n v="10329"/>
    <x v="89"/>
    <x v="6"/>
    <x v="4"/>
    <x v="1"/>
    <n v="5"/>
    <n v="12787.89"/>
    <x v="3"/>
    <n v="63939.45"/>
  </r>
  <r>
    <n v="10330"/>
    <x v="217"/>
    <x v="5"/>
    <x v="3"/>
    <x v="1"/>
    <n v="4"/>
    <n v="7442.05"/>
    <x v="2"/>
    <n v="29768.2"/>
  </r>
  <r>
    <n v="10331"/>
    <x v="33"/>
    <x v="11"/>
    <x v="0"/>
    <x v="0"/>
    <n v="4"/>
    <n v="508.37"/>
    <x v="1"/>
    <n v="2033.48"/>
  </r>
  <r>
    <n v="10332"/>
    <x v="19"/>
    <x v="2"/>
    <x v="7"/>
    <x v="0"/>
    <n v="3"/>
    <n v="2733.54"/>
    <x v="0"/>
    <n v="8200.619999999999"/>
  </r>
  <r>
    <n v="10333"/>
    <x v="163"/>
    <x v="11"/>
    <x v="7"/>
    <x v="0"/>
    <n v="2"/>
    <n v="2512.12"/>
    <x v="3"/>
    <n v="5024.24"/>
  </r>
  <r>
    <n v="10334"/>
    <x v="218"/>
    <x v="11"/>
    <x v="1"/>
    <x v="0"/>
    <n v="1"/>
    <n v="12174.17"/>
    <x v="1"/>
    <n v="12174.17"/>
  </r>
  <r>
    <n v="10335"/>
    <x v="219"/>
    <x v="4"/>
    <x v="5"/>
    <x v="0"/>
    <n v="4"/>
    <n v="48136.92"/>
    <x v="3"/>
    <n v="192547.68"/>
  </r>
  <r>
    <n v="10336"/>
    <x v="138"/>
    <x v="2"/>
    <x v="1"/>
    <x v="0"/>
    <n v="4"/>
    <n v="12004.37"/>
    <x v="3"/>
    <n v="48017.48"/>
  </r>
  <r>
    <n v="10337"/>
    <x v="80"/>
    <x v="5"/>
    <x v="2"/>
    <x v="0"/>
    <n v="5"/>
    <n v="1412.2"/>
    <x v="3"/>
    <n v="7061"/>
  </r>
  <r>
    <n v="10338"/>
    <x v="158"/>
    <x v="3"/>
    <x v="6"/>
    <x v="0"/>
    <n v="3"/>
    <n v="9822.0300000000007"/>
    <x v="2"/>
    <n v="29466.090000000004"/>
  </r>
  <r>
    <n v="10339"/>
    <x v="53"/>
    <x v="0"/>
    <x v="4"/>
    <x v="1"/>
    <n v="3"/>
    <n v="12264.18"/>
    <x v="0"/>
    <n v="36792.54"/>
  </r>
  <r>
    <n v="10340"/>
    <x v="30"/>
    <x v="8"/>
    <x v="3"/>
    <x v="1"/>
    <n v="2"/>
    <n v="7618.08"/>
    <x v="2"/>
    <n v="15236.16"/>
  </r>
  <r>
    <n v="10341"/>
    <x v="220"/>
    <x v="5"/>
    <x v="1"/>
    <x v="0"/>
    <n v="4"/>
    <n v="11560.9"/>
    <x v="2"/>
    <n v="46243.6"/>
  </r>
  <r>
    <n v="10342"/>
    <x v="118"/>
    <x v="1"/>
    <x v="0"/>
    <x v="0"/>
    <n v="5"/>
    <n v="517.66"/>
    <x v="3"/>
    <n v="2588.2999999999997"/>
  </r>
  <r>
    <n v="10343"/>
    <x v="168"/>
    <x v="11"/>
    <x v="2"/>
    <x v="0"/>
    <n v="3"/>
    <n v="1362.62"/>
    <x v="1"/>
    <n v="4087.8599999999997"/>
  </r>
  <r>
    <n v="10344"/>
    <x v="210"/>
    <x v="0"/>
    <x v="7"/>
    <x v="0"/>
    <n v="3"/>
    <n v="2623.67"/>
    <x v="0"/>
    <n v="7871.01"/>
  </r>
  <r>
    <n v="10345"/>
    <x v="221"/>
    <x v="4"/>
    <x v="3"/>
    <x v="1"/>
    <n v="5"/>
    <n v="7274.64"/>
    <x v="1"/>
    <n v="36373.200000000004"/>
  </r>
  <r>
    <n v="10346"/>
    <x v="214"/>
    <x v="6"/>
    <x v="1"/>
    <x v="0"/>
    <n v="2"/>
    <n v="10921.84"/>
    <x v="0"/>
    <n v="21843.68"/>
  </r>
  <r>
    <n v="10347"/>
    <x v="52"/>
    <x v="5"/>
    <x v="1"/>
    <x v="0"/>
    <n v="1"/>
    <n v="11040.48"/>
    <x v="3"/>
    <n v="11040.48"/>
  </r>
  <r>
    <n v="10348"/>
    <x v="100"/>
    <x v="4"/>
    <x v="2"/>
    <x v="0"/>
    <n v="1"/>
    <n v="1639.36"/>
    <x v="3"/>
    <n v="1639.36"/>
  </r>
  <r>
    <n v="10349"/>
    <x v="222"/>
    <x v="8"/>
    <x v="7"/>
    <x v="0"/>
    <n v="4"/>
    <n v="2575.27"/>
    <x v="2"/>
    <n v="10301.08"/>
  </r>
  <r>
    <n v="10350"/>
    <x v="223"/>
    <x v="0"/>
    <x v="5"/>
    <x v="0"/>
    <n v="1"/>
    <n v="51522.99"/>
    <x v="1"/>
    <n v="51522.99"/>
  </r>
  <r>
    <n v="10351"/>
    <x v="170"/>
    <x v="10"/>
    <x v="6"/>
    <x v="0"/>
    <n v="2"/>
    <n v="9781.06"/>
    <x v="3"/>
    <n v="19562.12"/>
  </r>
  <r>
    <n v="10352"/>
    <x v="71"/>
    <x v="10"/>
    <x v="2"/>
    <x v="0"/>
    <n v="3"/>
    <n v="1613.02"/>
    <x v="2"/>
    <n v="4839.0599999999995"/>
  </r>
  <r>
    <n v="10353"/>
    <x v="14"/>
    <x v="7"/>
    <x v="0"/>
    <x v="0"/>
    <n v="3"/>
    <n v="478.46"/>
    <x v="3"/>
    <n v="1435.3799999999999"/>
  </r>
  <r>
    <n v="10354"/>
    <x v="216"/>
    <x v="9"/>
    <x v="7"/>
    <x v="0"/>
    <n v="3"/>
    <n v="2346.41"/>
    <x v="2"/>
    <n v="7039.23"/>
  </r>
  <r>
    <n v="10355"/>
    <x v="10"/>
    <x v="10"/>
    <x v="7"/>
    <x v="0"/>
    <n v="3"/>
    <n v="2609.3000000000002"/>
    <x v="2"/>
    <n v="7827.9000000000005"/>
  </r>
  <r>
    <n v="10356"/>
    <x v="224"/>
    <x v="7"/>
    <x v="1"/>
    <x v="0"/>
    <n v="2"/>
    <n v="12266.29"/>
    <x v="3"/>
    <n v="24532.58"/>
  </r>
  <r>
    <n v="10357"/>
    <x v="225"/>
    <x v="9"/>
    <x v="4"/>
    <x v="1"/>
    <n v="1"/>
    <n v="11762"/>
    <x v="0"/>
    <n v="11762"/>
  </r>
  <r>
    <n v="10358"/>
    <x v="1"/>
    <x v="10"/>
    <x v="7"/>
    <x v="0"/>
    <n v="3"/>
    <n v="2717.91"/>
    <x v="2"/>
    <n v="8153.73"/>
  </r>
  <r>
    <n v="10359"/>
    <x v="201"/>
    <x v="5"/>
    <x v="1"/>
    <x v="0"/>
    <n v="4"/>
    <n v="12609.02"/>
    <x v="2"/>
    <n v="50436.08"/>
  </r>
  <r>
    <n v="10360"/>
    <x v="181"/>
    <x v="11"/>
    <x v="5"/>
    <x v="0"/>
    <n v="3"/>
    <n v="51536.83"/>
    <x v="0"/>
    <n v="154610.49"/>
  </r>
  <r>
    <n v="10361"/>
    <x v="80"/>
    <x v="1"/>
    <x v="0"/>
    <x v="0"/>
    <n v="4"/>
    <n v="480.68"/>
    <x v="2"/>
    <n v="1922.72"/>
  </r>
  <r>
    <n v="10362"/>
    <x v="138"/>
    <x v="0"/>
    <x v="0"/>
    <x v="0"/>
    <n v="3"/>
    <n v="486.75"/>
    <x v="0"/>
    <n v="1460.25"/>
  </r>
  <r>
    <n v="10363"/>
    <x v="216"/>
    <x v="2"/>
    <x v="7"/>
    <x v="0"/>
    <n v="2"/>
    <n v="2477.4899999999998"/>
    <x v="2"/>
    <n v="4954.9799999999996"/>
  </r>
  <r>
    <n v="10364"/>
    <x v="144"/>
    <x v="0"/>
    <x v="7"/>
    <x v="0"/>
    <n v="5"/>
    <n v="2651"/>
    <x v="0"/>
    <n v="13255"/>
  </r>
  <r>
    <n v="10365"/>
    <x v="20"/>
    <x v="11"/>
    <x v="0"/>
    <x v="0"/>
    <n v="5"/>
    <n v="494.67"/>
    <x v="2"/>
    <n v="2473.35"/>
  </r>
  <r>
    <n v="10366"/>
    <x v="176"/>
    <x v="6"/>
    <x v="0"/>
    <x v="0"/>
    <n v="1"/>
    <n v="532.88"/>
    <x v="0"/>
    <n v="532.88"/>
  </r>
  <r>
    <n v="10367"/>
    <x v="226"/>
    <x v="6"/>
    <x v="2"/>
    <x v="0"/>
    <n v="2"/>
    <n v="1448.44"/>
    <x v="3"/>
    <n v="2896.88"/>
  </r>
  <r>
    <n v="10368"/>
    <x v="50"/>
    <x v="6"/>
    <x v="1"/>
    <x v="0"/>
    <n v="5"/>
    <n v="11973.19"/>
    <x v="3"/>
    <n v="59865.950000000004"/>
  </r>
  <r>
    <n v="10369"/>
    <x v="227"/>
    <x v="3"/>
    <x v="7"/>
    <x v="0"/>
    <n v="2"/>
    <n v="2506.62"/>
    <x v="1"/>
    <n v="5013.24"/>
  </r>
  <r>
    <n v="10370"/>
    <x v="228"/>
    <x v="1"/>
    <x v="7"/>
    <x v="0"/>
    <n v="3"/>
    <n v="2611.64"/>
    <x v="2"/>
    <n v="7834.92"/>
  </r>
  <r>
    <n v="10371"/>
    <x v="124"/>
    <x v="1"/>
    <x v="1"/>
    <x v="0"/>
    <n v="5"/>
    <n v="10975.27"/>
    <x v="2"/>
    <n v="54876.350000000006"/>
  </r>
  <r>
    <n v="10372"/>
    <x v="140"/>
    <x v="9"/>
    <x v="0"/>
    <x v="0"/>
    <n v="5"/>
    <n v="549.41"/>
    <x v="3"/>
    <n v="2747.0499999999997"/>
  </r>
  <r>
    <n v="10373"/>
    <x v="229"/>
    <x v="4"/>
    <x v="3"/>
    <x v="1"/>
    <n v="4"/>
    <n v="6551.97"/>
    <x v="3"/>
    <n v="26207.88"/>
  </r>
  <r>
    <n v="10374"/>
    <x v="162"/>
    <x v="1"/>
    <x v="6"/>
    <x v="0"/>
    <n v="4"/>
    <n v="9665.32"/>
    <x v="3"/>
    <n v="38661.279999999999"/>
  </r>
  <r>
    <n v="10375"/>
    <x v="85"/>
    <x v="6"/>
    <x v="2"/>
    <x v="0"/>
    <n v="3"/>
    <n v="1385.59"/>
    <x v="3"/>
    <n v="4156.7699999999995"/>
  </r>
  <r>
    <n v="10376"/>
    <x v="230"/>
    <x v="10"/>
    <x v="2"/>
    <x v="0"/>
    <n v="2"/>
    <n v="1600.45"/>
    <x v="2"/>
    <n v="3200.9"/>
  </r>
  <r>
    <n v="10377"/>
    <x v="174"/>
    <x v="0"/>
    <x v="6"/>
    <x v="0"/>
    <n v="5"/>
    <n v="8782.7000000000007"/>
    <x v="0"/>
    <n v="43913.5"/>
  </r>
  <r>
    <n v="10378"/>
    <x v="231"/>
    <x v="11"/>
    <x v="4"/>
    <x v="1"/>
    <n v="2"/>
    <n v="11461.56"/>
    <x v="1"/>
    <n v="22923.119999999999"/>
  </r>
  <r>
    <n v="10379"/>
    <x v="229"/>
    <x v="10"/>
    <x v="6"/>
    <x v="0"/>
    <n v="5"/>
    <n v="9478.9"/>
    <x v="0"/>
    <n v="47394.5"/>
  </r>
  <r>
    <n v="10380"/>
    <x v="232"/>
    <x v="3"/>
    <x v="0"/>
    <x v="0"/>
    <n v="1"/>
    <n v="509.39"/>
    <x v="1"/>
    <n v="509.39"/>
  </r>
  <r>
    <n v="10381"/>
    <x v="233"/>
    <x v="6"/>
    <x v="5"/>
    <x v="0"/>
    <n v="4"/>
    <n v="49389.63"/>
    <x v="0"/>
    <n v="197558.52"/>
  </r>
  <r>
    <n v="10382"/>
    <x v="227"/>
    <x v="0"/>
    <x v="2"/>
    <x v="0"/>
    <n v="5"/>
    <n v="1648.05"/>
    <x v="2"/>
    <n v="8240.25"/>
  </r>
  <r>
    <n v="10383"/>
    <x v="8"/>
    <x v="4"/>
    <x v="4"/>
    <x v="1"/>
    <n v="2"/>
    <n v="11524.23"/>
    <x v="0"/>
    <n v="23048.46"/>
  </r>
  <r>
    <n v="10384"/>
    <x v="234"/>
    <x v="2"/>
    <x v="3"/>
    <x v="1"/>
    <n v="3"/>
    <n v="6385.34"/>
    <x v="0"/>
    <n v="19156.02"/>
  </r>
  <r>
    <n v="10385"/>
    <x v="76"/>
    <x v="5"/>
    <x v="6"/>
    <x v="0"/>
    <n v="5"/>
    <n v="8992.1200000000008"/>
    <x v="3"/>
    <n v="44960.600000000006"/>
  </r>
  <r>
    <n v="10386"/>
    <x v="235"/>
    <x v="8"/>
    <x v="4"/>
    <x v="1"/>
    <n v="4"/>
    <n v="11779.82"/>
    <x v="3"/>
    <n v="47119.28"/>
  </r>
  <r>
    <n v="10387"/>
    <x v="236"/>
    <x v="8"/>
    <x v="7"/>
    <x v="0"/>
    <n v="2"/>
    <n v="2674.67"/>
    <x v="0"/>
    <n v="5349.34"/>
  </r>
  <r>
    <n v="10388"/>
    <x v="174"/>
    <x v="1"/>
    <x v="5"/>
    <x v="0"/>
    <n v="5"/>
    <n v="49126.77"/>
    <x v="0"/>
    <n v="245633.84999999998"/>
  </r>
  <r>
    <n v="10389"/>
    <x v="150"/>
    <x v="7"/>
    <x v="1"/>
    <x v="0"/>
    <n v="3"/>
    <n v="11288.01"/>
    <x v="1"/>
    <n v="33864.03"/>
  </r>
  <r>
    <n v="10390"/>
    <x v="75"/>
    <x v="0"/>
    <x v="4"/>
    <x v="1"/>
    <n v="1"/>
    <n v="12085.53"/>
    <x v="1"/>
    <n v="12085.53"/>
  </r>
  <r>
    <n v="10391"/>
    <x v="237"/>
    <x v="9"/>
    <x v="6"/>
    <x v="0"/>
    <n v="5"/>
    <n v="9185.26"/>
    <x v="0"/>
    <n v="45926.3"/>
  </r>
  <r>
    <n v="10392"/>
    <x v="151"/>
    <x v="5"/>
    <x v="1"/>
    <x v="0"/>
    <n v="4"/>
    <n v="11301.33"/>
    <x v="2"/>
    <n v="45205.32"/>
  </r>
  <r>
    <n v="10393"/>
    <x v="101"/>
    <x v="9"/>
    <x v="1"/>
    <x v="0"/>
    <n v="2"/>
    <n v="13108.99"/>
    <x v="3"/>
    <n v="26217.98"/>
  </r>
  <r>
    <n v="10394"/>
    <x v="31"/>
    <x v="6"/>
    <x v="1"/>
    <x v="0"/>
    <n v="4"/>
    <n v="12996.3"/>
    <x v="2"/>
    <n v="51985.2"/>
  </r>
  <r>
    <n v="10395"/>
    <x v="238"/>
    <x v="5"/>
    <x v="6"/>
    <x v="0"/>
    <n v="4"/>
    <n v="9060.57"/>
    <x v="2"/>
    <n v="36242.28"/>
  </r>
  <r>
    <n v="10396"/>
    <x v="44"/>
    <x v="3"/>
    <x v="4"/>
    <x v="1"/>
    <n v="5"/>
    <n v="12918.75"/>
    <x v="1"/>
    <n v="64593.75"/>
  </r>
  <r>
    <n v="10397"/>
    <x v="103"/>
    <x v="1"/>
    <x v="4"/>
    <x v="1"/>
    <n v="2"/>
    <n v="11689.69"/>
    <x v="1"/>
    <n v="23379.38"/>
  </r>
  <r>
    <n v="10398"/>
    <x v="87"/>
    <x v="6"/>
    <x v="1"/>
    <x v="0"/>
    <n v="2"/>
    <n v="10838.93"/>
    <x v="3"/>
    <n v="21677.86"/>
  </r>
  <r>
    <n v="10399"/>
    <x v="224"/>
    <x v="1"/>
    <x v="2"/>
    <x v="0"/>
    <n v="2"/>
    <n v="1448.96"/>
    <x v="0"/>
    <n v="2897.92"/>
  </r>
  <r>
    <n v="10400"/>
    <x v="215"/>
    <x v="3"/>
    <x v="4"/>
    <x v="1"/>
    <n v="3"/>
    <n v="12632.07"/>
    <x v="3"/>
    <n v="37896.21"/>
  </r>
  <r>
    <n v="10401"/>
    <x v="231"/>
    <x v="11"/>
    <x v="2"/>
    <x v="0"/>
    <n v="3"/>
    <n v="1400.78"/>
    <x v="3"/>
    <n v="4202.34"/>
  </r>
  <r>
    <n v="10402"/>
    <x v="236"/>
    <x v="9"/>
    <x v="5"/>
    <x v="0"/>
    <n v="5"/>
    <n v="45338.239999999998"/>
    <x v="1"/>
    <n v="226691.19999999998"/>
  </r>
  <r>
    <n v="10403"/>
    <x v="4"/>
    <x v="0"/>
    <x v="6"/>
    <x v="0"/>
    <n v="2"/>
    <n v="9616.58"/>
    <x v="1"/>
    <n v="19233.16"/>
  </r>
  <r>
    <n v="10404"/>
    <x v="217"/>
    <x v="3"/>
    <x v="2"/>
    <x v="0"/>
    <n v="1"/>
    <n v="1415.62"/>
    <x v="2"/>
    <n v="1415.62"/>
  </r>
  <r>
    <n v="10405"/>
    <x v="239"/>
    <x v="6"/>
    <x v="7"/>
    <x v="0"/>
    <n v="4"/>
    <n v="2257.87"/>
    <x v="3"/>
    <n v="9031.48"/>
  </r>
  <r>
    <n v="10406"/>
    <x v="240"/>
    <x v="6"/>
    <x v="5"/>
    <x v="0"/>
    <n v="5"/>
    <n v="52221.93"/>
    <x v="2"/>
    <n v="261109.65"/>
  </r>
  <r>
    <n v="10407"/>
    <x v="157"/>
    <x v="9"/>
    <x v="6"/>
    <x v="0"/>
    <n v="2"/>
    <n v="8292.6299999999992"/>
    <x v="0"/>
    <n v="16585.259999999998"/>
  </r>
  <r>
    <n v="10408"/>
    <x v="193"/>
    <x v="5"/>
    <x v="1"/>
    <x v="0"/>
    <n v="5"/>
    <n v="12063.49"/>
    <x v="2"/>
    <n v="60317.45"/>
  </r>
  <r>
    <n v="10409"/>
    <x v="203"/>
    <x v="3"/>
    <x v="0"/>
    <x v="0"/>
    <n v="3"/>
    <n v="545.92999999999995"/>
    <x v="0"/>
    <n v="1637.79"/>
  </r>
  <r>
    <n v="10410"/>
    <x v="241"/>
    <x v="9"/>
    <x v="1"/>
    <x v="0"/>
    <n v="3"/>
    <n v="12441.7"/>
    <x v="1"/>
    <n v="37325.100000000006"/>
  </r>
  <r>
    <n v="10411"/>
    <x v="36"/>
    <x v="3"/>
    <x v="6"/>
    <x v="0"/>
    <n v="4"/>
    <n v="8778.91"/>
    <x v="1"/>
    <n v="35115.64"/>
  </r>
  <r>
    <n v="10412"/>
    <x v="52"/>
    <x v="1"/>
    <x v="5"/>
    <x v="0"/>
    <n v="2"/>
    <n v="45826.86"/>
    <x v="2"/>
    <n v="91653.72"/>
  </r>
  <r>
    <n v="10413"/>
    <x v="90"/>
    <x v="0"/>
    <x v="0"/>
    <x v="0"/>
    <n v="5"/>
    <n v="541.91999999999996"/>
    <x v="0"/>
    <n v="2709.6"/>
  </r>
  <r>
    <n v="10414"/>
    <x v="242"/>
    <x v="9"/>
    <x v="7"/>
    <x v="0"/>
    <n v="3"/>
    <n v="2273.2800000000002"/>
    <x v="2"/>
    <n v="6819.84"/>
  </r>
  <r>
    <n v="10415"/>
    <x v="243"/>
    <x v="5"/>
    <x v="5"/>
    <x v="0"/>
    <n v="2"/>
    <n v="54287.66"/>
    <x v="1"/>
    <n v="108575.32"/>
  </r>
  <r>
    <n v="10416"/>
    <x v="244"/>
    <x v="8"/>
    <x v="2"/>
    <x v="0"/>
    <n v="4"/>
    <n v="1628.66"/>
    <x v="0"/>
    <n v="6514.64"/>
  </r>
  <r>
    <n v="10417"/>
    <x v="87"/>
    <x v="1"/>
    <x v="1"/>
    <x v="0"/>
    <n v="5"/>
    <n v="12803.16"/>
    <x v="2"/>
    <n v="64015.8"/>
  </r>
  <r>
    <n v="10418"/>
    <x v="201"/>
    <x v="5"/>
    <x v="2"/>
    <x v="0"/>
    <n v="1"/>
    <n v="1500.24"/>
    <x v="1"/>
    <n v="1500.24"/>
  </r>
  <r>
    <n v="10419"/>
    <x v="245"/>
    <x v="5"/>
    <x v="6"/>
    <x v="0"/>
    <n v="2"/>
    <n v="9609.61"/>
    <x v="3"/>
    <n v="19219.22"/>
  </r>
  <r>
    <n v="10420"/>
    <x v="65"/>
    <x v="3"/>
    <x v="5"/>
    <x v="0"/>
    <n v="3"/>
    <n v="52835.48"/>
    <x v="3"/>
    <n v="158506.44"/>
  </r>
  <r>
    <n v="10421"/>
    <x v="246"/>
    <x v="1"/>
    <x v="4"/>
    <x v="1"/>
    <n v="5"/>
    <n v="13058.74"/>
    <x v="0"/>
    <n v="65293.7"/>
  </r>
  <r>
    <n v="10422"/>
    <x v="20"/>
    <x v="8"/>
    <x v="6"/>
    <x v="0"/>
    <n v="1"/>
    <n v="9489.9"/>
    <x v="0"/>
    <n v="9489.9"/>
  </r>
  <r>
    <n v="10423"/>
    <x v="137"/>
    <x v="11"/>
    <x v="0"/>
    <x v="0"/>
    <n v="3"/>
    <n v="465.42"/>
    <x v="0"/>
    <n v="1396.26"/>
  </r>
  <r>
    <n v="10424"/>
    <x v="82"/>
    <x v="10"/>
    <x v="4"/>
    <x v="1"/>
    <n v="3"/>
    <n v="11055.72"/>
    <x v="2"/>
    <n v="33167.159999999996"/>
  </r>
  <r>
    <n v="10425"/>
    <x v="247"/>
    <x v="9"/>
    <x v="4"/>
    <x v="1"/>
    <n v="3"/>
    <n v="11045.36"/>
    <x v="0"/>
    <n v="33136.080000000002"/>
  </r>
  <r>
    <n v="10426"/>
    <x v="161"/>
    <x v="1"/>
    <x v="7"/>
    <x v="0"/>
    <n v="5"/>
    <n v="2527.37"/>
    <x v="1"/>
    <n v="12636.849999999999"/>
  </r>
  <r>
    <n v="10427"/>
    <x v="248"/>
    <x v="2"/>
    <x v="0"/>
    <x v="0"/>
    <n v="3"/>
    <n v="505.42"/>
    <x v="2"/>
    <n v="1516.26"/>
  </r>
  <r>
    <n v="10428"/>
    <x v="127"/>
    <x v="9"/>
    <x v="5"/>
    <x v="0"/>
    <n v="3"/>
    <n v="49138.1"/>
    <x v="0"/>
    <n v="147414.29999999999"/>
  </r>
  <r>
    <n v="10429"/>
    <x v="249"/>
    <x v="8"/>
    <x v="2"/>
    <x v="0"/>
    <n v="4"/>
    <n v="1400.85"/>
    <x v="2"/>
    <n v="5603.4"/>
  </r>
  <r>
    <n v="10430"/>
    <x v="237"/>
    <x v="1"/>
    <x v="7"/>
    <x v="0"/>
    <n v="2"/>
    <n v="2281.63"/>
    <x v="2"/>
    <n v="4563.26"/>
  </r>
  <r>
    <n v="10431"/>
    <x v="250"/>
    <x v="5"/>
    <x v="3"/>
    <x v="1"/>
    <n v="4"/>
    <n v="7395.73"/>
    <x v="2"/>
    <n v="29582.92"/>
  </r>
  <r>
    <n v="10432"/>
    <x v="179"/>
    <x v="3"/>
    <x v="7"/>
    <x v="0"/>
    <n v="5"/>
    <n v="2558.33"/>
    <x v="1"/>
    <n v="12791.65"/>
  </r>
  <r>
    <n v="10433"/>
    <x v="251"/>
    <x v="5"/>
    <x v="3"/>
    <x v="1"/>
    <n v="1"/>
    <n v="7628.35"/>
    <x v="3"/>
    <n v="7628.35"/>
  </r>
  <r>
    <n v="10434"/>
    <x v="252"/>
    <x v="7"/>
    <x v="7"/>
    <x v="0"/>
    <n v="3"/>
    <n v="2465.31"/>
    <x v="0"/>
    <n v="7395.93"/>
  </r>
  <r>
    <n v="10435"/>
    <x v="253"/>
    <x v="0"/>
    <x v="4"/>
    <x v="1"/>
    <n v="5"/>
    <n v="13073.47"/>
    <x v="3"/>
    <n v="65367.35"/>
  </r>
  <r>
    <n v="10436"/>
    <x v="40"/>
    <x v="8"/>
    <x v="2"/>
    <x v="0"/>
    <n v="4"/>
    <n v="1640.62"/>
    <x v="3"/>
    <n v="6562.48"/>
  </r>
  <r>
    <n v="10437"/>
    <x v="81"/>
    <x v="1"/>
    <x v="1"/>
    <x v="0"/>
    <n v="3"/>
    <n v="11702.53"/>
    <x v="2"/>
    <n v="35107.590000000004"/>
  </r>
  <r>
    <n v="10438"/>
    <x v="164"/>
    <x v="4"/>
    <x v="1"/>
    <x v="0"/>
    <n v="5"/>
    <n v="13193.44"/>
    <x v="1"/>
    <n v="65967.199999999997"/>
  </r>
  <r>
    <n v="10439"/>
    <x v="123"/>
    <x v="11"/>
    <x v="1"/>
    <x v="0"/>
    <n v="4"/>
    <n v="12714.45"/>
    <x v="1"/>
    <n v="50857.8"/>
  </r>
  <r>
    <n v="10440"/>
    <x v="254"/>
    <x v="0"/>
    <x v="7"/>
    <x v="0"/>
    <n v="2"/>
    <n v="2566.67"/>
    <x v="2"/>
    <n v="5133.34"/>
  </r>
  <r>
    <n v="10441"/>
    <x v="255"/>
    <x v="9"/>
    <x v="2"/>
    <x v="0"/>
    <n v="4"/>
    <n v="1586.72"/>
    <x v="3"/>
    <n v="6346.88"/>
  </r>
  <r>
    <n v="10442"/>
    <x v="23"/>
    <x v="6"/>
    <x v="7"/>
    <x v="0"/>
    <n v="5"/>
    <n v="2450.4"/>
    <x v="3"/>
    <n v="12252"/>
  </r>
  <r>
    <n v="10443"/>
    <x v="243"/>
    <x v="6"/>
    <x v="5"/>
    <x v="0"/>
    <n v="3"/>
    <n v="52016.34"/>
    <x v="1"/>
    <n v="156049.01999999999"/>
  </r>
  <r>
    <n v="10444"/>
    <x v="60"/>
    <x v="2"/>
    <x v="1"/>
    <x v="0"/>
    <n v="3"/>
    <n v="11199.21"/>
    <x v="1"/>
    <n v="33597.629999999997"/>
  </r>
  <r>
    <n v="10445"/>
    <x v="87"/>
    <x v="1"/>
    <x v="6"/>
    <x v="0"/>
    <n v="3"/>
    <n v="9838.2900000000009"/>
    <x v="1"/>
    <n v="29514.870000000003"/>
  </r>
  <r>
    <n v="10446"/>
    <x v="256"/>
    <x v="11"/>
    <x v="0"/>
    <x v="0"/>
    <n v="3"/>
    <n v="472.2"/>
    <x v="0"/>
    <n v="1416.6"/>
  </r>
  <r>
    <n v="10447"/>
    <x v="257"/>
    <x v="7"/>
    <x v="4"/>
    <x v="1"/>
    <n v="4"/>
    <n v="11911.35"/>
    <x v="0"/>
    <n v="47645.4"/>
  </r>
  <r>
    <n v="10448"/>
    <x v="168"/>
    <x v="1"/>
    <x v="5"/>
    <x v="0"/>
    <n v="4"/>
    <n v="46045.49"/>
    <x v="1"/>
    <n v="184181.96"/>
  </r>
  <r>
    <n v="10449"/>
    <x v="50"/>
    <x v="3"/>
    <x v="2"/>
    <x v="0"/>
    <n v="3"/>
    <n v="1443.57"/>
    <x v="0"/>
    <n v="4330.71"/>
  </r>
  <r>
    <n v="10450"/>
    <x v="258"/>
    <x v="3"/>
    <x v="7"/>
    <x v="0"/>
    <n v="3"/>
    <n v="2488.08"/>
    <x v="3"/>
    <n v="7464.24"/>
  </r>
  <r>
    <n v="10451"/>
    <x v="259"/>
    <x v="11"/>
    <x v="0"/>
    <x v="0"/>
    <n v="3"/>
    <n v="454.47"/>
    <x v="1"/>
    <n v="1363.41"/>
  </r>
  <r>
    <n v="10452"/>
    <x v="260"/>
    <x v="4"/>
    <x v="4"/>
    <x v="1"/>
    <n v="1"/>
    <n v="12425.13"/>
    <x v="0"/>
    <n v="12425.13"/>
  </r>
  <r>
    <n v="10453"/>
    <x v="261"/>
    <x v="6"/>
    <x v="2"/>
    <x v="0"/>
    <n v="5"/>
    <n v="1398.04"/>
    <x v="3"/>
    <n v="6990.2"/>
  </r>
  <r>
    <n v="10454"/>
    <x v="123"/>
    <x v="4"/>
    <x v="1"/>
    <x v="0"/>
    <n v="4"/>
    <n v="12311.42"/>
    <x v="3"/>
    <n v="49245.68"/>
  </r>
  <r>
    <n v="10455"/>
    <x v="262"/>
    <x v="3"/>
    <x v="5"/>
    <x v="0"/>
    <n v="5"/>
    <n v="53830.97"/>
    <x v="3"/>
    <n v="269154.84999999998"/>
  </r>
  <r>
    <n v="10456"/>
    <x v="82"/>
    <x v="11"/>
    <x v="5"/>
    <x v="0"/>
    <n v="2"/>
    <n v="47057.84"/>
    <x v="1"/>
    <n v="94115.68"/>
  </r>
  <r>
    <n v="10457"/>
    <x v="8"/>
    <x v="5"/>
    <x v="0"/>
    <x v="0"/>
    <n v="5"/>
    <n v="468.7"/>
    <x v="0"/>
    <n v="2343.5"/>
  </r>
  <r>
    <n v="10458"/>
    <x v="46"/>
    <x v="3"/>
    <x v="0"/>
    <x v="0"/>
    <n v="3"/>
    <n v="517.07000000000005"/>
    <x v="2"/>
    <n v="1551.21"/>
  </r>
  <r>
    <n v="10459"/>
    <x v="19"/>
    <x v="9"/>
    <x v="6"/>
    <x v="0"/>
    <n v="5"/>
    <n v="8806.58"/>
    <x v="2"/>
    <n v="44032.9"/>
  </r>
  <r>
    <n v="10460"/>
    <x v="98"/>
    <x v="7"/>
    <x v="7"/>
    <x v="0"/>
    <n v="5"/>
    <n v="2336.2600000000002"/>
    <x v="2"/>
    <n v="11681.300000000001"/>
  </r>
  <r>
    <n v="10461"/>
    <x v="199"/>
    <x v="0"/>
    <x v="0"/>
    <x v="0"/>
    <n v="2"/>
    <n v="481.32"/>
    <x v="2"/>
    <n v="962.64"/>
  </r>
  <r>
    <n v="10462"/>
    <x v="50"/>
    <x v="6"/>
    <x v="2"/>
    <x v="0"/>
    <n v="3"/>
    <n v="1558.03"/>
    <x v="3"/>
    <n v="4674.09"/>
  </r>
  <r>
    <n v="10463"/>
    <x v="192"/>
    <x v="4"/>
    <x v="2"/>
    <x v="0"/>
    <n v="5"/>
    <n v="1465.11"/>
    <x v="3"/>
    <n v="7325.5499999999993"/>
  </r>
  <r>
    <n v="10464"/>
    <x v="116"/>
    <x v="8"/>
    <x v="2"/>
    <x v="0"/>
    <n v="5"/>
    <n v="1400.06"/>
    <x v="0"/>
    <n v="7000.2999999999993"/>
  </r>
  <r>
    <n v="10465"/>
    <x v="204"/>
    <x v="5"/>
    <x v="4"/>
    <x v="1"/>
    <n v="4"/>
    <n v="12286.58"/>
    <x v="1"/>
    <n v="49146.32"/>
  </r>
  <r>
    <n v="10466"/>
    <x v="25"/>
    <x v="6"/>
    <x v="2"/>
    <x v="0"/>
    <n v="2"/>
    <n v="1594.56"/>
    <x v="3"/>
    <n v="3189.12"/>
  </r>
  <r>
    <n v="10467"/>
    <x v="254"/>
    <x v="3"/>
    <x v="7"/>
    <x v="0"/>
    <n v="4"/>
    <n v="2605.0700000000002"/>
    <x v="3"/>
    <n v="10420.280000000001"/>
  </r>
  <r>
    <n v="10468"/>
    <x v="198"/>
    <x v="0"/>
    <x v="0"/>
    <x v="0"/>
    <n v="5"/>
    <n v="453.09"/>
    <x v="2"/>
    <n v="2265.4499999999998"/>
  </r>
  <r>
    <n v="10469"/>
    <x v="229"/>
    <x v="4"/>
    <x v="3"/>
    <x v="1"/>
    <n v="2"/>
    <n v="7052.65"/>
    <x v="3"/>
    <n v="14105.3"/>
  </r>
  <r>
    <n v="10470"/>
    <x v="90"/>
    <x v="2"/>
    <x v="7"/>
    <x v="0"/>
    <n v="5"/>
    <n v="2505.4"/>
    <x v="1"/>
    <n v="12527"/>
  </r>
  <r>
    <n v="10471"/>
    <x v="237"/>
    <x v="10"/>
    <x v="4"/>
    <x v="1"/>
    <n v="5"/>
    <n v="12774.27"/>
    <x v="3"/>
    <n v="63871.350000000006"/>
  </r>
  <r>
    <n v="10472"/>
    <x v="53"/>
    <x v="7"/>
    <x v="1"/>
    <x v="0"/>
    <n v="4"/>
    <n v="11045.8"/>
    <x v="0"/>
    <n v="44183.199999999997"/>
  </r>
  <r>
    <n v="10473"/>
    <x v="212"/>
    <x v="9"/>
    <x v="5"/>
    <x v="0"/>
    <n v="4"/>
    <n v="47628.15"/>
    <x v="3"/>
    <n v="190512.6"/>
  </r>
  <r>
    <n v="10474"/>
    <x v="106"/>
    <x v="2"/>
    <x v="1"/>
    <x v="0"/>
    <n v="2"/>
    <n v="12745.69"/>
    <x v="2"/>
    <n v="25491.38"/>
  </r>
  <r>
    <n v="10475"/>
    <x v="207"/>
    <x v="0"/>
    <x v="6"/>
    <x v="0"/>
    <n v="2"/>
    <n v="9209.07"/>
    <x v="0"/>
    <n v="18418.14"/>
  </r>
  <r>
    <n v="10476"/>
    <x v="239"/>
    <x v="6"/>
    <x v="4"/>
    <x v="1"/>
    <n v="5"/>
    <n v="11474.6"/>
    <x v="0"/>
    <n v="57373"/>
  </r>
  <r>
    <n v="10477"/>
    <x v="114"/>
    <x v="6"/>
    <x v="3"/>
    <x v="1"/>
    <n v="3"/>
    <n v="7101.83"/>
    <x v="1"/>
    <n v="21305.489999999998"/>
  </r>
  <r>
    <n v="10478"/>
    <x v="251"/>
    <x v="7"/>
    <x v="6"/>
    <x v="0"/>
    <n v="1"/>
    <n v="9886.48"/>
    <x v="0"/>
    <n v="9886.48"/>
  </r>
  <r>
    <n v="10479"/>
    <x v="263"/>
    <x v="5"/>
    <x v="2"/>
    <x v="0"/>
    <n v="2"/>
    <n v="1393.87"/>
    <x v="0"/>
    <n v="2787.74"/>
  </r>
  <r>
    <n v="10480"/>
    <x v="147"/>
    <x v="7"/>
    <x v="6"/>
    <x v="0"/>
    <n v="4"/>
    <n v="8355.91"/>
    <x v="2"/>
    <n v="33423.64"/>
  </r>
  <r>
    <n v="10481"/>
    <x v="18"/>
    <x v="7"/>
    <x v="6"/>
    <x v="0"/>
    <n v="4"/>
    <n v="8913.59"/>
    <x v="1"/>
    <n v="35654.36"/>
  </r>
  <r>
    <n v="10482"/>
    <x v="42"/>
    <x v="3"/>
    <x v="3"/>
    <x v="1"/>
    <n v="3"/>
    <n v="6936.57"/>
    <x v="2"/>
    <n v="20809.71"/>
  </r>
  <r>
    <n v="10483"/>
    <x v="177"/>
    <x v="3"/>
    <x v="5"/>
    <x v="0"/>
    <n v="1"/>
    <n v="52309.32"/>
    <x v="2"/>
    <n v="52309.32"/>
  </r>
  <r>
    <n v="10484"/>
    <x v="79"/>
    <x v="0"/>
    <x v="6"/>
    <x v="0"/>
    <n v="2"/>
    <n v="9842.6299999999992"/>
    <x v="3"/>
    <n v="19685.259999999998"/>
  </r>
  <r>
    <n v="10485"/>
    <x v="237"/>
    <x v="2"/>
    <x v="4"/>
    <x v="1"/>
    <n v="3"/>
    <n v="11610.61"/>
    <x v="0"/>
    <n v="34831.83"/>
  </r>
  <r>
    <n v="10486"/>
    <x v="90"/>
    <x v="10"/>
    <x v="7"/>
    <x v="0"/>
    <n v="3"/>
    <n v="2697.08"/>
    <x v="1"/>
    <n v="8091.24"/>
  </r>
  <r>
    <n v="10487"/>
    <x v="245"/>
    <x v="4"/>
    <x v="7"/>
    <x v="0"/>
    <n v="1"/>
    <n v="2312.12"/>
    <x v="3"/>
    <n v="2312.12"/>
  </r>
  <r>
    <n v="10488"/>
    <x v="70"/>
    <x v="11"/>
    <x v="5"/>
    <x v="0"/>
    <n v="4"/>
    <n v="47023.18"/>
    <x v="0"/>
    <n v="188092.72"/>
  </r>
  <r>
    <n v="10489"/>
    <x v="264"/>
    <x v="8"/>
    <x v="3"/>
    <x v="1"/>
    <n v="2"/>
    <n v="7524.19"/>
    <x v="1"/>
    <n v="15048.38"/>
  </r>
  <r>
    <n v="10490"/>
    <x v="173"/>
    <x v="7"/>
    <x v="4"/>
    <x v="1"/>
    <n v="3"/>
    <n v="10997.81"/>
    <x v="0"/>
    <n v="32993.43"/>
  </r>
  <r>
    <n v="10491"/>
    <x v="163"/>
    <x v="0"/>
    <x v="6"/>
    <x v="0"/>
    <n v="3"/>
    <n v="9406.7800000000007"/>
    <x v="3"/>
    <n v="28220.340000000004"/>
  </r>
  <r>
    <n v="10492"/>
    <x v="173"/>
    <x v="3"/>
    <x v="0"/>
    <x v="0"/>
    <n v="1"/>
    <n v="450.11"/>
    <x v="1"/>
    <n v="450.11"/>
  </r>
  <r>
    <n v="10493"/>
    <x v="47"/>
    <x v="10"/>
    <x v="1"/>
    <x v="0"/>
    <n v="5"/>
    <n v="12431.96"/>
    <x v="1"/>
    <n v="62159.799999999996"/>
  </r>
  <r>
    <n v="10494"/>
    <x v="241"/>
    <x v="1"/>
    <x v="4"/>
    <x v="1"/>
    <n v="1"/>
    <n v="13171.57"/>
    <x v="0"/>
    <n v="13171.57"/>
  </r>
  <r>
    <n v="10495"/>
    <x v="104"/>
    <x v="11"/>
    <x v="0"/>
    <x v="0"/>
    <n v="2"/>
    <n v="488.31"/>
    <x v="1"/>
    <n v="976.62"/>
  </r>
  <r>
    <n v="10496"/>
    <x v="178"/>
    <x v="4"/>
    <x v="4"/>
    <x v="1"/>
    <n v="3"/>
    <n v="12914.37"/>
    <x v="3"/>
    <n v="38743.11"/>
  </r>
  <r>
    <n v="10497"/>
    <x v="216"/>
    <x v="10"/>
    <x v="2"/>
    <x v="0"/>
    <n v="1"/>
    <n v="1509.15"/>
    <x v="0"/>
    <n v="1509.15"/>
  </r>
  <r>
    <n v="10498"/>
    <x v="265"/>
    <x v="4"/>
    <x v="4"/>
    <x v="1"/>
    <n v="2"/>
    <n v="12307.39"/>
    <x v="3"/>
    <n v="24614.78"/>
  </r>
  <r>
    <n v="10499"/>
    <x v="214"/>
    <x v="9"/>
    <x v="7"/>
    <x v="0"/>
    <n v="2"/>
    <n v="2293.34"/>
    <x v="0"/>
    <n v="4586.68"/>
  </r>
  <r>
    <n v="10500"/>
    <x v="266"/>
    <x v="5"/>
    <x v="6"/>
    <x v="0"/>
    <n v="3"/>
    <n v="9833.85"/>
    <x v="0"/>
    <n v="29501.550000000003"/>
  </r>
  <r>
    <n v="10501"/>
    <x v="179"/>
    <x v="2"/>
    <x v="3"/>
    <x v="1"/>
    <n v="1"/>
    <n v="6647.43"/>
    <x v="2"/>
    <n v="6647.43"/>
  </r>
  <r>
    <n v="10502"/>
    <x v="138"/>
    <x v="2"/>
    <x v="5"/>
    <x v="0"/>
    <n v="3"/>
    <n v="47054.46"/>
    <x v="0"/>
    <n v="141163.38"/>
  </r>
  <r>
    <n v="10503"/>
    <x v="267"/>
    <x v="0"/>
    <x v="3"/>
    <x v="1"/>
    <n v="1"/>
    <n v="7397.32"/>
    <x v="3"/>
    <n v="7397.32"/>
  </r>
  <r>
    <n v="10504"/>
    <x v="127"/>
    <x v="2"/>
    <x v="0"/>
    <x v="0"/>
    <n v="2"/>
    <n v="499.96"/>
    <x v="1"/>
    <n v="999.92"/>
  </r>
  <r>
    <n v="10505"/>
    <x v="230"/>
    <x v="4"/>
    <x v="5"/>
    <x v="0"/>
    <n v="3"/>
    <n v="54339.24"/>
    <x v="3"/>
    <n v="163017.72"/>
  </r>
  <r>
    <n v="10506"/>
    <x v="268"/>
    <x v="4"/>
    <x v="6"/>
    <x v="0"/>
    <n v="3"/>
    <n v="9083.44"/>
    <x v="3"/>
    <n v="27250.32"/>
  </r>
  <r>
    <n v="10507"/>
    <x v="137"/>
    <x v="8"/>
    <x v="5"/>
    <x v="0"/>
    <n v="5"/>
    <n v="45675.33"/>
    <x v="0"/>
    <n v="228376.65000000002"/>
  </r>
  <r>
    <n v="10508"/>
    <x v="269"/>
    <x v="7"/>
    <x v="5"/>
    <x v="0"/>
    <n v="4"/>
    <n v="50066.11"/>
    <x v="3"/>
    <n v="200264.44"/>
  </r>
  <r>
    <n v="10509"/>
    <x v="270"/>
    <x v="6"/>
    <x v="6"/>
    <x v="0"/>
    <n v="1"/>
    <n v="9252.9699999999993"/>
    <x v="0"/>
    <n v="9252.9699999999993"/>
  </r>
  <r>
    <n v="10510"/>
    <x v="30"/>
    <x v="0"/>
    <x v="0"/>
    <x v="0"/>
    <n v="3"/>
    <n v="457.9"/>
    <x v="0"/>
    <n v="1373.6999999999998"/>
  </r>
  <r>
    <n v="10511"/>
    <x v="271"/>
    <x v="7"/>
    <x v="4"/>
    <x v="1"/>
    <n v="4"/>
    <n v="12207.45"/>
    <x v="1"/>
    <n v="48829.8"/>
  </r>
  <r>
    <n v="10512"/>
    <x v="175"/>
    <x v="9"/>
    <x v="6"/>
    <x v="0"/>
    <n v="2"/>
    <n v="8204.23"/>
    <x v="3"/>
    <n v="16408.46"/>
  </r>
  <r>
    <n v="10513"/>
    <x v="50"/>
    <x v="8"/>
    <x v="7"/>
    <x v="0"/>
    <n v="5"/>
    <n v="2554.42"/>
    <x v="0"/>
    <n v="12772.1"/>
  </r>
  <r>
    <n v="10514"/>
    <x v="272"/>
    <x v="4"/>
    <x v="5"/>
    <x v="0"/>
    <n v="2"/>
    <n v="52015"/>
    <x v="3"/>
    <n v="104030"/>
  </r>
  <r>
    <n v="10515"/>
    <x v="210"/>
    <x v="11"/>
    <x v="3"/>
    <x v="1"/>
    <n v="2"/>
    <n v="6820.62"/>
    <x v="2"/>
    <n v="13641.24"/>
  </r>
  <r>
    <n v="10516"/>
    <x v="106"/>
    <x v="8"/>
    <x v="5"/>
    <x v="0"/>
    <n v="3"/>
    <n v="53071.08"/>
    <x v="1"/>
    <n v="159213.24"/>
  </r>
  <r>
    <n v="10517"/>
    <x v="205"/>
    <x v="5"/>
    <x v="0"/>
    <x v="0"/>
    <n v="4"/>
    <n v="495.52"/>
    <x v="1"/>
    <n v="1982.08"/>
  </r>
  <r>
    <n v="10518"/>
    <x v="215"/>
    <x v="9"/>
    <x v="2"/>
    <x v="0"/>
    <n v="3"/>
    <n v="1397.19"/>
    <x v="1"/>
    <n v="4191.57"/>
  </r>
  <r>
    <n v="10519"/>
    <x v="246"/>
    <x v="10"/>
    <x v="5"/>
    <x v="0"/>
    <n v="1"/>
    <n v="53586.89"/>
    <x v="0"/>
    <n v="53586.89"/>
  </r>
  <r>
    <n v="10520"/>
    <x v="132"/>
    <x v="4"/>
    <x v="7"/>
    <x v="0"/>
    <n v="3"/>
    <n v="2441.4899999999998"/>
    <x v="0"/>
    <n v="7324.4699999999993"/>
  </r>
  <r>
    <n v="10521"/>
    <x v="273"/>
    <x v="1"/>
    <x v="6"/>
    <x v="0"/>
    <n v="2"/>
    <n v="8679.24"/>
    <x v="2"/>
    <n v="17358.48"/>
  </r>
  <r>
    <n v="10522"/>
    <x v="274"/>
    <x v="6"/>
    <x v="0"/>
    <x v="0"/>
    <n v="5"/>
    <n v="487.28"/>
    <x v="1"/>
    <n v="2436.3999999999996"/>
  </r>
  <r>
    <n v="10523"/>
    <x v="275"/>
    <x v="1"/>
    <x v="1"/>
    <x v="0"/>
    <n v="5"/>
    <n v="13155.39"/>
    <x v="1"/>
    <n v="65776.95"/>
  </r>
  <r>
    <n v="10524"/>
    <x v="68"/>
    <x v="6"/>
    <x v="3"/>
    <x v="1"/>
    <n v="3"/>
    <n v="6758.22"/>
    <x v="3"/>
    <n v="20274.66"/>
  </r>
  <r>
    <n v="10525"/>
    <x v="276"/>
    <x v="8"/>
    <x v="4"/>
    <x v="1"/>
    <n v="2"/>
    <n v="11499.83"/>
    <x v="0"/>
    <n v="22999.66"/>
  </r>
  <r>
    <n v="10526"/>
    <x v="174"/>
    <x v="0"/>
    <x v="4"/>
    <x v="1"/>
    <n v="5"/>
    <n v="13132.46"/>
    <x v="0"/>
    <n v="65662.299999999988"/>
  </r>
  <r>
    <n v="10527"/>
    <x v="105"/>
    <x v="6"/>
    <x v="5"/>
    <x v="0"/>
    <n v="4"/>
    <n v="45239.1"/>
    <x v="2"/>
    <n v="180956.4"/>
  </r>
  <r>
    <n v="10528"/>
    <x v="116"/>
    <x v="7"/>
    <x v="5"/>
    <x v="0"/>
    <n v="3"/>
    <n v="45014.62"/>
    <x v="3"/>
    <n v="135043.86000000002"/>
  </r>
  <r>
    <n v="10529"/>
    <x v="277"/>
    <x v="0"/>
    <x v="0"/>
    <x v="0"/>
    <n v="2"/>
    <n v="502.98"/>
    <x v="3"/>
    <n v="1005.96"/>
  </r>
  <r>
    <n v="10530"/>
    <x v="278"/>
    <x v="9"/>
    <x v="5"/>
    <x v="0"/>
    <n v="2"/>
    <n v="52116.52"/>
    <x v="1"/>
    <n v="104233.04"/>
  </r>
  <r>
    <n v="10531"/>
    <x v="279"/>
    <x v="11"/>
    <x v="6"/>
    <x v="0"/>
    <n v="3"/>
    <n v="8925.2199999999993"/>
    <x v="1"/>
    <n v="26775.659999999996"/>
  </r>
  <r>
    <n v="10532"/>
    <x v="177"/>
    <x v="1"/>
    <x v="0"/>
    <x v="0"/>
    <n v="5"/>
    <n v="463.35"/>
    <x v="1"/>
    <n v="2316.75"/>
  </r>
  <r>
    <n v="10533"/>
    <x v="89"/>
    <x v="4"/>
    <x v="5"/>
    <x v="0"/>
    <n v="4"/>
    <n v="51624.44"/>
    <x v="0"/>
    <n v="206497.76"/>
  </r>
  <r>
    <n v="10534"/>
    <x v="109"/>
    <x v="1"/>
    <x v="3"/>
    <x v="1"/>
    <n v="3"/>
    <n v="7596.46"/>
    <x v="2"/>
    <n v="22789.38"/>
  </r>
  <r>
    <n v="10535"/>
    <x v="129"/>
    <x v="0"/>
    <x v="7"/>
    <x v="0"/>
    <n v="3"/>
    <n v="2366.81"/>
    <x v="0"/>
    <n v="7100.43"/>
  </r>
  <r>
    <n v="10536"/>
    <x v="16"/>
    <x v="3"/>
    <x v="0"/>
    <x v="0"/>
    <n v="2"/>
    <n v="460.57"/>
    <x v="3"/>
    <n v="921.14"/>
  </r>
  <r>
    <n v="10537"/>
    <x v="40"/>
    <x v="0"/>
    <x v="6"/>
    <x v="0"/>
    <n v="1"/>
    <n v="9064.66"/>
    <x v="3"/>
    <n v="9064.66"/>
  </r>
  <r>
    <n v="10538"/>
    <x v="277"/>
    <x v="9"/>
    <x v="7"/>
    <x v="0"/>
    <n v="3"/>
    <n v="2676.24"/>
    <x v="0"/>
    <n v="8028.7199999999993"/>
  </r>
  <r>
    <n v="10539"/>
    <x v="160"/>
    <x v="5"/>
    <x v="3"/>
    <x v="1"/>
    <n v="5"/>
    <n v="6356.46"/>
    <x v="0"/>
    <n v="31782.3"/>
  </r>
  <r>
    <n v="10540"/>
    <x v="154"/>
    <x v="10"/>
    <x v="1"/>
    <x v="0"/>
    <n v="3"/>
    <n v="11750.99"/>
    <x v="2"/>
    <n v="35252.97"/>
  </r>
  <r>
    <n v="10541"/>
    <x v="44"/>
    <x v="3"/>
    <x v="2"/>
    <x v="0"/>
    <n v="1"/>
    <n v="1635.63"/>
    <x v="0"/>
    <n v="1635.63"/>
  </r>
  <r>
    <n v="10542"/>
    <x v="280"/>
    <x v="4"/>
    <x v="7"/>
    <x v="0"/>
    <n v="1"/>
    <n v="2651.95"/>
    <x v="1"/>
    <n v="2651.95"/>
  </r>
  <r>
    <n v="10543"/>
    <x v="240"/>
    <x v="1"/>
    <x v="5"/>
    <x v="0"/>
    <n v="2"/>
    <n v="46307.15"/>
    <x v="2"/>
    <n v="92614.3"/>
  </r>
  <r>
    <n v="10544"/>
    <x v="160"/>
    <x v="9"/>
    <x v="0"/>
    <x v="0"/>
    <n v="5"/>
    <n v="508.61"/>
    <x v="1"/>
    <n v="2543.0500000000002"/>
  </r>
  <r>
    <n v="10545"/>
    <x v="281"/>
    <x v="9"/>
    <x v="1"/>
    <x v="0"/>
    <n v="4"/>
    <n v="12742.32"/>
    <x v="2"/>
    <n v="50969.279999999999"/>
  </r>
  <r>
    <n v="10546"/>
    <x v="122"/>
    <x v="2"/>
    <x v="5"/>
    <x v="0"/>
    <n v="4"/>
    <n v="45506.38"/>
    <x v="3"/>
    <n v="182025.52"/>
  </r>
  <r>
    <n v="10547"/>
    <x v="262"/>
    <x v="1"/>
    <x v="7"/>
    <x v="0"/>
    <n v="1"/>
    <n v="2441.36"/>
    <x v="0"/>
    <n v="2441.36"/>
  </r>
  <r>
    <n v="10548"/>
    <x v="32"/>
    <x v="3"/>
    <x v="1"/>
    <x v="0"/>
    <n v="2"/>
    <n v="11459.96"/>
    <x v="0"/>
    <n v="22919.919999999998"/>
  </r>
  <r>
    <n v="10549"/>
    <x v="282"/>
    <x v="6"/>
    <x v="1"/>
    <x v="0"/>
    <n v="3"/>
    <n v="11997.34"/>
    <x v="3"/>
    <n v="35992.020000000004"/>
  </r>
  <r>
    <n v="10550"/>
    <x v="80"/>
    <x v="1"/>
    <x v="0"/>
    <x v="0"/>
    <n v="3"/>
    <n v="488.3"/>
    <x v="0"/>
    <n v="1464.9"/>
  </r>
  <r>
    <n v="10551"/>
    <x v="283"/>
    <x v="1"/>
    <x v="1"/>
    <x v="0"/>
    <n v="5"/>
    <n v="12707.63"/>
    <x v="2"/>
    <n v="63538.149999999994"/>
  </r>
  <r>
    <n v="10552"/>
    <x v="284"/>
    <x v="6"/>
    <x v="7"/>
    <x v="0"/>
    <n v="3"/>
    <n v="2706.34"/>
    <x v="2"/>
    <n v="8119.02"/>
  </r>
  <r>
    <n v="10553"/>
    <x v="150"/>
    <x v="2"/>
    <x v="3"/>
    <x v="1"/>
    <n v="2"/>
    <n v="6336.49"/>
    <x v="0"/>
    <n v="12672.98"/>
  </r>
  <r>
    <n v="10554"/>
    <x v="2"/>
    <x v="3"/>
    <x v="3"/>
    <x v="1"/>
    <n v="1"/>
    <n v="7432.12"/>
    <x v="2"/>
    <n v="7432.12"/>
  </r>
  <r>
    <n v="10555"/>
    <x v="16"/>
    <x v="7"/>
    <x v="1"/>
    <x v="0"/>
    <n v="2"/>
    <n v="11040.32"/>
    <x v="0"/>
    <n v="22080.639999999999"/>
  </r>
  <r>
    <n v="10556"/>
    <x v="57"/>
    <x v="1"/>
    <x v="5"/>
    <x v="0"/>
    <n v="2"/>
    <n v="50756.92"/>
    <x v="2"/>
    <n v="101513.84"/>
  </r>
  <r>
    <n v="10557"/>
    <x v="108"/>
    <x v="11"/>
    <x v="2"/>
    <x v="0"/>
    <n v="2"/>
    <n v="1527.76"/>
    <x v="2"/>
    <n v="3055.52"/>
  </r>
  <r>
    <n v="10558"/>
    <x v="285"/>
    <x v="2"/>
    <x v="5"/>
    <x v="0"/>
    <n v="3"/>
    <n v="54475.59"/>
    <x v="0"/>
    <n v="163426.76999999999"/>
  </r>
  <r>
    <n v="10559"/>
    <x v="87"/>
    <x v="4"/>
    <x v="1"/>
    <x v="0"/>
    <n v="4"/>
    <n v="12101.1"/>
    <x v="3"/>
    <n v="48404.4"/>
  </r>
  <r>
    <n v="10560"/>
    <x v="286"/>
    <x v="0"/>
    <x v="0"/>
    <x v="0"/>
    <n v="1"/>
    <n v="473.26"/>
    <x v="1"/>
    <n v="473.26"/>
  </r>
  <r>
    <n v="10561"/>
    <x v="158"/>
    <x v="2"/>
    <x v="7"/>
    <x v="0"/>
    <n v="1"/>
    <n v="2415.87"/>
    <x v="0"/>
    <n v="2415.87"/>
  </r>
  <r>
    <n v="10562"/>
    <x v="182"/>
    <x v="5"/>
    <x v="4"/>
    <x v="1"/>
    <n v="2"/>
    <n v="13005.07"/>
    <x v="1"/>
    <n v="26010.14"/>
  </r>
  <r>
    <n v="10563"/>
    <x v="260"/>
    <x v="4"/>
    <x v="2"/>
    <x v="0"/>
    <n v="5"/>
    <n v="1561.41"/>
    <x v="1"/>
    <n v="7807.05"/>
  </r>
  <r>
    <n v="10564"/>
    <x v="158"/>
    <x v="7"/>
    <x v="4"/>
    <x v="1"/>
    <n v="1"/>
    <n v="11696.62"/>
    <x v="3"/>
    <n v="11696.62"/>
  </r>
  <r>
    <n v="10565"/>
    <x v="151"/>
    <x v="4"/>
    <x v="0"/>
    <x v="0"/>
    <n v="3"/>
    <n v="480.18"/>
    <x v="0"/>
    <n v="1440.54"/>
  </r>
  <r>
    <n v="10566"/>
    <x v="172"/>
    <x v="6"/>
    <x v="7"/>
    <x v="0"/>
    <n v="3"/>
    <n v="2337.1"/>
    <x v="2"/>
    <n v="7011.2999999999993"/>
  </r>
  <r>
    <n v="10567"/>
    <x v="86"/>
    <x v="11"/>
    <x v="2"/>
    <x v="0"/>
    <n v="4"/>
    <n v="1442.05"/>
    <x v="2"/>
    <n v="5768.2"/>
  </r>
  <r>
    <n v="10568"/>
    <x v="54"/>
    <x v="2"/>
    <x v="2"/>
    <x v="0"/>
    <n v="1"/>
    <n v="1634.64"/>
    <x v="3"/>
    <n v="1634.64"/>
  </r>
  <r>
    <n v="10569"/>
    <x v="14"/>
    <x v="2"/>
    <x v="5"/>
    <x v="0"/>
    <n v="2"/>
    <n v="51023.89"/>
    <x v="0"/>
    <n v="102047.78"/>
  </r>
  <r>
    <n v="10570"/>
    <x v="0"/>
    <x v="11"/>
    <x v="0"/>
    <x v="0"/>
    <n v="4"/>
    <n v="464.06"/>
    <x v="1"/>
    <n v="1856.24"/>
  </r>
  <r>
    <n v="10571"/>
    <x v="287"/>
    <x v="9"/>
    <x v="4"/>
    <x v="1"/>
    <n v="3"/>
    <n v="11202.93"/>
    <x v="2"/>
    <n v="33608.79"/>
  </r>
  <r>
    <n v="10572"/>
    <x v="257"/>
    <x v="11"/>
    <x v="5"/>
    <x v="0"/>
    <n v="3"/>
    <n v="47096.84"/>
    <x v="1"/>
    <n v="141290.51999999999"/>
  </r>
  <r>
    <n v="10573"/>
    <x v="59"/>
    <x v="10"/>
    <x v="3"/>
    <x v="1"/>
    <n v="1"/>
    <n v="7308.58"/>
    <x v="3"/>
    <n v="7308.58"/>
  </r>
  <r>
    <n v="10574"/>
    <x v="28"/>
    <x v="3"/>
    <x v="6"/>
    <x v="0"/>
    <n v="2"/>
    <n v="9692.19"/>
    <x v="3"/>
    <n v="19384.38"/>
  </r>
  <r>
    <n v="10575"/>
    <x v="59"/>
    <x v="2"/>
    <x v="6"/>
    <x v="0"/>
    <n v="1"/>
    <n v="9591.85"/>
    <x v="0"/>
    <n v="9591.85"/>
  </r>
  <r>
    <n v="10576"/>
    <x v="10"/>
    <x v="10"/>
    <x v="7"/>
    <x v="0"/>
    <n v="1"/>
    <n v="2649.6"/>
    <x v="2"/>
    <n v="2649.6"/>
  </r>
  <r>
    <n v="10577"/>
    <x v="29"/>
    <x v="9"/>
    <x v="4"/>
    <x v="1"/>
    <n v="3"/>
    <n v="13083.99"/>
    <x v="2"/>
    <n v="39251.97"/>
  </r>
  <r>
    <n v="10578"/>
    <x v="134"/>
    <x v="6"/>
    <x v="6"/>
    <x v="0"/>
    <n v="2"/>
    <n v="9417.57"/>
    <x v="1"/>
    <n v="18835.14"/>
  </r>
  <r>
    <n v="10579"/>
    <x v="146"/>
    <x v="7"/>
    <x v="7"/>
    <x v="0"/>
    <n v="1"/>
    <n v="2465.66"/>
    <x v="0"/>
    <n v="2465.66"/>
  </r>
  <r>
    <n v="10580"/>
    <x v="61"/>
    <x v="5"/>
    <x v="6"/>
    <x v="0"/>
    <n v="2"/>
    <n v="8196.4"/>
    <x v="0"/>
    <n v="16392.8"/>
  </r>
  <r>
    <n v="10581"/>
    <x v="219"/>
    <x v="11"/>
    <x v="6"/>
    <x v="0"/>
    <n v="5"/>
    <n v="9399.67"/>
    <x v="2"/>
    <n v="46998.35"/>
  </r>
  <r>
    <n v="10582"/>
    <x v="156"/>
    <x v="10"/>
    <x v="3"/>
    <x v="1"/>
    <n v="3"/>
    <n v="6632.57"/>
    <x v="3"/>
    <n v="19897.71"/>
  </r>
  <r>
    <n v="10583"/>
    <x v="249"/>
    <x v="10"/>
    <x v="7"/>
    <x v="0"/>
    <n v="2"/>
    <n v="2277.25"/>
    <x v="3"/>
    <n v="4554.5"/>
  </r>
  <r>
    <n v="10584"/>
    <x v="288"/>
    <x v="9"/>
    <x v="3"/>
    <x v="1"/>
    <n v="5"/>
    <n v="6972.46"/>
    <x v="1"/>
    <n v="34862.300000000003"/>
  </r>
  <r>
    <n v="10585"/>
    <x v="232"/>
    <x v="3"/>
    <x v="2"/>
    <x v="0"/>
    <n v="3"/>
    <n v="1643.12"/>
    <x v="1"/>
    <n v="4929.3599999999997"/>
  </r>
  <r>
    <n v="10586"/>
    <x v="277"/>
    <x v="7"/>
    <x v="6"/>
    <x v="0"/>
    <n v="4"/>
    <n v="8980.3700000000008"/>
    <x v="2"/>
    <n v="35921.480000000003"/>
  </r>
  <r>
    <n v="10587"/>
    <x v="154"/>
    <x v="1"/>
    <x v="6"/>
    <x v="0"/>
    <n v="2"/>
    <n v="8767.84"/>
    <x v="2"/>
    <n v="17535.68"/>
  </r>
  <r>
    <n v="10588"/>
    <x v="204"/>
    <x v="3"/>
    <x v="7"/>
    <x v="0"/>
    <n v="1"/>
    <n v="2381.65"/>
    <x v="2"/>
    <n v="2381.65"/>
  </r>
  <r>
    <n v="10589"/>
    <x v="183"/>
    <x v="11"/>
    <x v="3"/>
    <x v="1"/>
    <n v="5"/>
    <n v="6386.3"/>
    <x v="1"/>
    <n v="31931.5"/>
  </r>
  <r>
    <n v="10590"/>
    <x v="289"/>
    <x v="2"/>
    <x v="4"/>
    <x v="1"/>
    <n v="5"/>
    <n v="11793.57"/>
    <x v="0"/>
    <n v="58967.85"/>
  </r>
  <r>
    <n v="10591"/>
    <x v="186"/>
    <x v="1"/>
    <x v="5"/>
    <x v="0"/>
    <n v="4"/>
    <n v="53184.05"/>
    <x v="3"/>
    <n v="212736.2"/>
  </r>
  <r>
    <n v="10592"/>
    <x v="226"/>
    <x v="1"/>
    <x v="1"/>
    <x v="0"/>
    <n v="4"/>
    <n v="11517.25"/>
    <x v="1"/>
    <n v="46069"/>
  </r>
  <r>
    <n v="10593"/>
    <x v="290"/>
    <x v="3"/>
    <x v="2"/>
    <x v="0"/>
    <n v="1"/>
    <n v="1634.78"/>
    <x v="0"/>
    <n v="1634.78"/>
  </r>
  <r>
    <n v="10594"/>
    <x v="198"/>
    <x v="1"/>
    <x v="1"/>
    <x v="0"/>
    <n v="2"/>
    <n v="11102.85"/>
    <x v="1"/>
    <n v="22205.7"/>
  </r>
  <r>
    <n v="10595"/>
    <x v="291"/>
    <x v="7"/>
    <x v="6"/>
    <x v="0"/>
    <n v="2"/>
    <n v="9895.08"/>
    <x v="0"/>
    <n v="19790.16"/>
  </r>
  <r>
    <n v="10596"/>
    <x v="292"/>
    <x v="9"/>
    <x v="3"/>
    <x v="1"/>
    <n v="3"/>
    <n v="7575.13"/>
    <x v="1"/>
    <n v="22725.39"/>
  </r>
  <r>
    <n v="10597"/>
    <x v="150"/>
    <x v="8"/>
    <x v="6"/>
    <x v="0"/>
    <n v="5"/>
    <n v="8687.0300000000007"/>
    <x v="3"/>
    <n v="43435.15"/>
  </r>
  <r>
    <n v="10598"/>
    <x v="240"/>
    <x v="4"/>
    <x v="6"/>
    <x v="0"/>
    <n v="1"/>
    <n v="8846"/>
    <x v="1"/>
    <n v="8846"/>
  </r>
  <r>
    <n v="10599"/>
    <x v="72"/>
    <x v="5"/>
    <x v="0"/>
    <x v="0"/>
    <n v="3"/>
    <n v="536.75"/>
    <x v="3"/>
    <n v="1610.25"/>
  </r>
  <r>
    <n v="10600"/>
    <x v="148"/>
    <x v="3"/>
    <x v="6"/>
    <x v="0"/>
    <n v="4"/>
    <n v="9129.64"/>
    <x v="1"/>
    <n v="36518.559999999998"/>
  </r>
  <r>
    <n v="10601"/>
    <x v="108"/>
    <x v="2"/>
    <x v="3"/>
    <x v="1"/>
    <n v="4"/>
    <n v="6501.39"/>
    <x v="3"/>
    <n v="26005.56"/>
  </r>
  <r>
    <n v="10602"/>
    <x v="286"/>
    <x v="10"/>
    <x v="6"/>
    <x v="0"/>
    <n v="3"/>
    <n v="9342.92"/>
    <x v="3"/>
    <n v="28028.760000000002"/>
  </r>
  <r>
    <n v="10603"/>
    <x v="237"/>
    <x v="8"/>
    <x v="4"/>
    <x v="1"/>
    <n v="1"/>
    <n v="11610.88"/>
    <x v="2"/>
    <n v="11610.88"/>
  </r>
  <r>
    <n v="10604"/>
    <x v="152"/>
    <x v="0"/>
    <x v="7"/>
    <x v="0"/>
    <n v="1"/>
    <n v="2736.25"/>
    <x v="0"/>
    <n v="2736.25"/>
  </r>
  <r>
    <n v="10605"/>
    <x v="253"/>
    <x v="1"/>
    <x v="7"/>
    <x v="0"/>
    <n v="3"/>
    <n v="2384.71"/>
    <x v="1"/>
    <n v="7154.13"/>
  </r>
  <r>
    <n v="10606"/>
    <x v="293"/>
    <x v="1"/>
    <x v="7"/>
    <x v="0"/>
    <n v="2"/>
    <n v="2706.72"/>
    <x v="3"/>
    <n v="5413.44"/>
  </r>
  <r>
    <n v="10607"/>
    <x v="261"/>
    <x v="4"/>
    <x v="4"/>
    <x v="1"/>
    <n v="1"/>
    <n v="12036.65"/>
    <x v="1"/>
    <n v="12036.65"/>
  </r>
  <r>
    <n v="10608"/>
    <x v="88"/>
    <x v="6"/>
    <x v="6"/>
    <x v="0"/>
    <n v="2"/>
    <n v="9504.93"/>
    <x v="1"/>
    <n v="19009.86"/>
  </r>
  <r>
    <n v="10609"/>
    <x v="108"/>
    <x v="0"/>
    <x v="1"/>
    <x v="0"/>
    <n v="2"/>
    <n v="12808.74"/>
    <x v="1"/>
    <n v="25617.48"/>
  </r>
  <r>
    <n v="10610"/>
    <x v="70"/>
    <x v="8"/>
    <x v="5"/>
    <x v="0"/>
    <n v="3"/>
    <n v="52046.34"/>
    <x v="2"/>
    <n v="156139.01999999999"/>
  </r>
  <r>
    <n v="10611"/>
    <x v="174"/>
    <x v="0"/>
    <x v="6"/>
    <x v="0"/>
    <n v="1"/>
    <n v="9326.11"/>
    <x v="2"/>
    <n v="9326.11"/>
  </r>
  <r>
    <n v="10612"/>
    <x v="294"/>
    <x v="3"/>
    <x v="7"/>
    <x v="0"/>
    <n v="2"/>
    <n v="2730.26"/>
    <x v="2"/>
    <n v="5460.52"/>
  </r>
  <r>
    <n v="10613"/>
    <x v="168"/>
    <x v="11"/>
    <x v="2"/>
    <x v="0"/>
    <n v="3"/>
    <n v="1574.69"/>
    <x v="1"/>
    <n v="4724.07"/>
  </r>
  <r>
    <n v="10614"/>
    <x v="180"/>
    <x v="2"/>
    <x v="5"/>
    <x v="0"/>
    <n v="4"/>
    <n v="45496.51"/>
    <x v="0"/>
    <n v="181986.04"/>
  </r>
  <r>
    <n v="10615"/>
    <x v="58"/>
    <x v="1"/>
    <x v="1"/>
    <x v="0"/>
    <n v="2"/>
    <n v="11445.8"/>
    <x v="1"/>
    <n v="22891.599999999999"/>
  </r>
  <r>
    <n v="10616"/>
    <x v="291"/>
    <x v="7"/>
    <x v="5"/>
    <x v="0"/>
    <n v="4"/>
    <n v="54115.15"/>
    <x v="0"/>
    <n v="216460.6"/>
  </r>
  <r>
    <n v="10617"/>
    <x v="295"/>
    <x v="8"/>
    <x v="5"/>
    <x v="0"/>
    <n v="2"/>
    <n v="47523.9"/>
    <x v="2"/>
    <n v="95047.8"/>
  </r>
  <r>
    <n v="10618"/>
    <x v="270"/>
    <x v="0"/>
    <x v="6"/>
    <x v="0"/>
    <n v="3"/>
    <n v="8926.2000000000007"/>
    <x v="3"/>
    <n v="26778.600000000002"/>
  </r>
  <r>
    <n v="10619"/>
    <x v="296"/>
    <x v="6"/>
    <x v="6"/>
    <x v="0"/>
    <n v="5"/>
    <n v="8284.16"/>
    <x v="2"/>
    <n v="41420.800000000003"/>
  </r>
  <r>
    <n v="10620"/>
    <x v="3"/>
    <x v="3"/>
    <x v="3"/>
    <x v="1"/>
    <n v="3"/>
    <n v="7258.18"/>
    <x v="1"/>
    <n v="21774.54"/>
  </r>
  <r>
    <n v="10621"/>
    <x v="5"/>
    <x v="8"/>
    <x v="3"/>
    <x v="1"/>
    <n v="3"/>
    <n v="7506.09"/>
    <x v="2"/>
    <n v="22518.27"/>
  </r>
  <r>
    <n v="10622"/>
    <x v="293"/>
    <x v="10"/>
    <x v="2"/>
    <x v="0"/>
    <n v="5"/>
    <n v="1579.64"/>
    <x v="3"/>
    <n v="7898.2000000000007"/>
  </r>
  <r>
    <n v="10623"/>
    <x v="156"/>
    <x v="7"/>
    <x v="4"/>
    <x v="1"/>
    <n v="2"/>
    <n v="12531.08"/>
    <x v="3"/>
    <n v="25062.16"/>
  </r>
  <r>
    <n v="10624"/>
    <x v="224"/>
    <x v="11"/>
    <x v="3"/>
    <x v="1"/>
    <n v="4"/>
    <n v="6866.44"/>
    <x v="1"/>
    <n v="27465.759999999998"/>
  </r>
  <r>
    <n v="10625"/>
    <x v="181"/>
    <x v="0"/>
    <x v="1"/>
    <x v="0"/>
    <n v="3"/>
    <n v="12543.72"/>
    <x v="3"/>
    <n v="37631.159999999996"/>
  </r>
  <r>
    <n v="10626"/>
    <x v="45"/>
    <x v="4"/>
    <x v="4"/>
    <x v="1"/>
    <n v="5"/>
    <n v="11520.47"/>
    <x v="0"/>
    <n v="57602.35"/>
  </r>
  <r>
    <n v="10627"/>
    <x v="297"/>
    <x v="8"/>
    <x v="0"/>
    <x v="0"/>
    <n v="4"/>
    <n v="462.79"/>
    <x v="0"/>
    <n v="1851.16"/>
  </r>
  <r>
    <n v="10628"/>
    <x v="20"/>
    <x v="0"/>
    <x v="4"/>
    <x v="1"/>
    <n v="1"/>
    <n v="11333.41"/>
    <x v="2"/>
    <n v="11333.41"/>
  </r>
  <r>
    <n v="10629"/>
    <x v="250"/>
    <x v="8"/>
    <x v="4"/>
    <x v="1"/>
    <n v="3"/>
    <n v="11425.34"/>
    <x v="3"/>
    <n v="34276.020000000004"/>
  </r>
  <r>
    <n v="10630"/>
    <x v="106"/>
    <x v="2"/>
    <x v="7"/>
    <x v="0"/>
    <n v="1"/>
    <n v="2683.2"/>
    <x v="1"/>
    <n v="2683.2"/>
  </r>
  <r>
    <n v="10631"/>
    <x v="298"/>
    <x v="7"/>
    <x v="1"/>
    <x v="0"/>
    <n v="5"/>
    <n v="11087.56"/>
    <x v="3"/>
    <n v="55437.799999999996"/>
  </r>
  <r>
    <n v="10632"/>
    <x v="145"/>
    <x v="4"/>
    <x v="3"/>
    <x v="1"/>
    <n v="4"/>
    <n v="6375.69"/>
    <x v="0"/>
    <n v="25502.76"/>
  </r>
  <r>
    <n v="10633"/>
    <x v="185"/>
    <x v="3"/>
    <x v="4"/>
    <x v="1"/>
    <n v="4"/>
    <n v="13169.26"/>
    <x v="0"/>
    <n v="52677.04"/>
  </r>
  <r>
    <n v="10634"/>
    <x v="196"/>
    <x v="7"/>
    <x v="2"/>
    <x v="0"/>
    <n v="1"/>
    <n v="1496.27"/>
    <x v="0"/>
    <n v="1496.27"/>
  </r>
  <r>
    <n v="10635"/>
    <x v="40"/>
    <x v="0"/>
    <x v="5"/>
    <x v="0"/>
    <n v="1"/>
    <n v="49520.53"/>
    <x v="0"/>
    <n v="49520.53"/>
  </r>
  <r>
    <n v="10636"/>
    <x v="8"/>
    <x v="9"/>
    <x v="2"/>
    <x v="0"/>
    <n v="4"/>
    <n v="1585.56"/>
    <x v="0"/>
    <n v="6342.24"/>
  </r>
  <r>
    <n v="10637"/>
    <x v="199"/>
    <x v="3"/>
    <x v="6"/>
    <x v="0"/>
    <n v="4"/>
    <n v="8826.11"/>
    <x v="3"/>
    <n v="35304.44"/>
  </r>
  <r>
    <n v="10638"/>
    <x v="299"/>
    <x v="5"/>
    <x v="5"/>
    <x v="0"/>
    <n v="5"/>
    <n v="46994.14"/>
    <x v="1"/>
    <n v="234970.7"/>
  </r>
  <r>
    <n v="10639"/>
    <x v="117"/>
    <x v="7"/>
    <x v="1"/>
    <x v="0"/>
    <n v="1"/>
    <n v="12424.2"/>
    <x v="0"/>
    <n v="12424.2"/>
  </r>
  <r>
    <n v="10640"/>
    <x v="183"/>
    <x v="1"/>
    <x v="4"/>
    <x v="1"/>
    <n v="3"/>
    <n v="11109.43"/>
    <x v="2"/>
    <n v="33328.29"/>
  </r>
  <r>
    <n v="10641"/>
    <x v="198"/>
    <x v="8"/>
    <x v="0"/>
    <x v="0"/>
    <n v="1"/>
    <n v="479.82"/>
    <x v="3"/>
    <n v="479.82"/>
  </r>
  <r>
    <n v="10642"/>
    <x v="258"/>
    <x v="4"/>
    <x v="4"/>
    <x v="1"/>
    <n v="4"/>
    <n v="12931.14"/>
    <x v="2"/>
    <n v="51724.56"/>
  </r>
  <r>
    <n v="10643"/>
    <x v="294"/>
    <x v="1"/>
    <x v="4"/>
    <x v="1"/>
    <n v="2"/>
    <n v="11195.72"/>
    <x v="1"/>
    <n v="22391.439999999999"/>
  </r>
  <r>
    <n v="10644"/>
    <x v="246"/>
    <x v="10"/>
    <x v="1"/>
    <x v="0"/>
    <n v="2"/>
    <n v="11306.86"/>
    <x v="0"/>
    <n v="22613.72"/>
  </r>
  <r>
    <n v="10645"/>
    <x v="266"/>
    <x v="7"/>
    <x v="4"/>
    <x v="1"/>
    <n v="1"/>
    <n v="11700.46"/>
    <x v="2"/>
    <n v="11700.46"/>
  </r>
  <r>
    <n v="10646"/>
    <x v="300"/>
    <x v="7"/>
    <x v="5"/>
    <x v="0"/>
    <n v="5"/>
    <n v="54946.8"/>
    <x v="1"/>
    <n v="274734"/>
  </r>
  <r>
    <n v="10647"/>
    <x v="222"/>
    <x v="1"/>
    <x v="5"/>
    <x v="0"/>
    <n v="1"/>
    <n v="51897.5"/>
    <x v="3"/>
    <n v="51897.5"/>
  </r>
  <r>
    <n v="10648"/>
    <x v="12"/>
    <x v="11"/>
    <x v="0"/>
    <x v="0"/>
    <n v="5"/>
    <n v="475.27"/>
    <x v="0"/>
    <n v="2376.35"/>
  </r>
  <r>
    <n v="10649"/>
    <x v="232"/>
    <x v="9"/>
    <x v="5"/>
    <x v="0"/>
    <n v="3"/>
    <n v="49208.71"/>
    <x v="2"/>
    <n v="147626.13"/>
  </r>
  <r>
    <n v="10650"/>
    <x v="121"/>
    <x v="9"/>
    <x v="2"/>
    <x v="0"/>
    <n v="4"/>
    <n v="1599.2"/>
    <x v="1"/>
    <n v="6396.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E95F029-1551-44CC-A5ED-4A7EE6A69EE5}"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rowHeaderCaption="">
  <location ref="A8:B17" firstHeaderRow="1" firstDataRow="1" firstDataCol="1"/>
  <pivotFields count="11">
    <pivotField showAll="0"/>
    <pivotField numFmtId="14" showAll="0">
      <items count="302">
        <item x="124"/>
        <item x="299"/>
        <item x="4"/>
        <item x="276"/>
        <item x="256"/>
        <item x="240"/>
        <item x="101"/>
        <item x="157"/>
        <item x="29"/>
        <item x="260"/>
        <item x="56"/>
        <item x="248"/>
        <item x="2"/>
        <item x="229"/>
        <item x="282"/>
        <item x="273"/>
        <item x="286"/>
        <item x="269"/>
        <item x="62"/>
        <item x="132"/>
        <item x="73"/>
        <item x="163"/>
        <item x="188"/>
        <item x="227"/>
        <item x="41"/>
        <item x="239"/>
        <item x="80"/>
        <item x="79"/>
        <item x="281"/>
        <item x="194"/>
        <item x="91"/>
        <item x="110"/>
        <item x="137"/>
        <item x="176"/>
        <item x="9"/>
        <item x="85"/>
        <item x="289"/>
        <item x="288"/>
        <item x="154"/>
        <item x="36"/>
        <item x="280"/>
        <item x="245"/>
        <item x="100"/>
        <item x="178"/>
        <item x="72"/>
        <item x="60"/>
        <item x="191"/>
        <item x="21"/>
        <item x="164"/>
        <item x="50"/>
        <item x="106"/>
        <item x="272"/>
        <item x="122"/>
        <item x="266"/>
        <item x="200"/>
        <item x="54"/>
        <item x="182"/>
        <item x="47"/>
        <item x="216"/>
        <item x="251"/>
        <item x="78"/>
        <item x="1"/>
        <item x="112"/>
        <item x="15"/>
        <item x="133"/>
        <item x="218"/>
        <item x="125"/>
        <item x="105"/>
        <item x="39"/>
        <item x="48"/>
        <item x="187"/>
        <item x="10"/>
        <item x="198"/>
        <item x="69"/>
        <item x="134"/>
        <item x="108"/>
        <item x="170"/>
        <item x="275"/>
        <item x="35"/>
        <item x="236"/>
        <item x="204"/>
        <item x="293"/>
        <item x="219"/>
        <item x="99"/>
        <item x="185"/>
        <item x="232"/>
        <item x="244"/>
        <item x="55"/>
        <item x="27"/>
        <item x="142"/>
        <item x="58"/>
        <item x="86"/>
        <item x="183"/>
        <item x="246"/>
        <item x="13"/>
        <item x="279"/>
        <item x="126"/>
        <item x="77"/>
        <item x="287"/>
        <item x="24"/>
        <item x="193"/>
        <item x="31"/>
        <item x="233"/>
        <item x="179"/>
        <item x="34"/>
        <item x="119"/>
        <item x="136"/>
        <item x="190"/>
        <item x="44"/>
        <item x="205"/>
        <item x="148"/>
        <item x="57"/>
        <item x="237"/>
        <item x="274"/>
        <item x="113"/>
        <item x="141"/>
        <item x="155"/>
        <item x="30"/>
        <item x="152"/>
        <item x="238"/>
        <item x="180"/>
        <item x="223"/>
        <item x="118"/>
        <item x="169"/>
        <item x="109"/>
        <item x="297"/>
        <item x="224"/>
        <item x="212"/>
        <item x="253"/>
        <item x="296"/>
        <item x="149"/>
        <item x="107"/>
        <item x="277"/>
        <item x="175"/>
        <item x="88"/>
        <item x="40"/>
        <item x="196"/>
        <item x="129"/>
        <item x="259"/>
        <item x="117"/>
        <item x="114"/>
        <item x="166"/>
        <item x="65"/>
        <item x="252"/>
        <item x="5"/>
        <item x="146"/>
        <item x="51"/>
        <item x="168"/>
        <item x="210"/>
        <item x="59"/>
        <item x="98"/>
        <item x="32"/>
        <item x="153"/>
        <item x="63"/>
        <item x="202"/>
        <item x="162"/>
        <item x="165"/>
        <item x="7"/>
        <item x="12"/>
        <item x="201"/>
        <item x="127"/>
        <item x="150"/>
        <item x="82"/>
        <item x="267"/>
        <item x="84"/>
        <item x="262"/>
        <item x="203"/>
        <item x="37"/>
        <item x="42"/>
        <item x="95"/>
        <item x="254"/>
        <item x="234"/>
        <item x="144"/>
        <item x="192"/>
        <item x="250"/>
        <item x="270"/>
        <item x="111"/>
        <item x="225"/>
        <item x="161"/>
        <item x="92"/>
        <item x="172"/>
        <item x="28"/>
        <item x="265"/>
        <item x="74"/>
        <item x="247"/>
        <item x="257"/>
        <item x="75"/>
        <item x="159"/>
        <item x="38"/>
        <item x="70"/>
        <item x="46"/>
        <item x="231"/>
        <item x="123"/>
        <item x="174"/>
        <item x="68"/>
        <item x="209"/>
        <item x="103"/>
        <item x="298"/>
        <item x="97"/>
        <item x="104"/>
        <item x="284"/>
        <item x="139"/>
        <item x="25"/>
        <item x="83"/>
        <item x="294"/>
        <item x="278"/>
        <item x="71"/>
        <item x="135"/>
        <item x="215"/>
        <item x="22"/>
        <item x="290"/>
        <item x="17"/>
        <item x="213"/>
        <item x="261"/>
        <item x="115"/>
        <item x="258"/>
        <item x="93"/>
        <item x="235"/>
        <item x="158"/>
        <item x="230"/>
        <item x="145"/>
        <item x="300"/>
        <item x="271"/>
        <item x="221"/>
        <item x="243"/>
        <item x="53"/>
        <item x="67"/>
        <item x="26"/>
        <item x="186"/>
        <item x="94"/>
        <item x="228"/>
        <item x="3"/>
        <item x="87"/>
        <item x="90"/>
        <item x="14"/>
        <item x="268"/>
        <item x="249"/>
        <item x="226"/>
        <item x="81"/>
        <item x="8"/>
        <item x="143"/>
        <item x="177"/>
        <item x="181"/>
        <item x="16"/>
        <item x="151"/>
        <item x="285"/>
        <item x="89"/>
        <item x="292"/>
        <item x="19"/>
        <item x="23"/>
        <item x="295"/>
        <item x="197"/>
        <item x="6"/>
        <item x="61"/>
        <item x="11"/>
        <item x="184"/>
        <item x="199"/>
        <item x="214"/>
        <item x="171"/>
        <item x="43"/>
        <item x="121"/>
        <item x="128"/>
        <item x="76"/>
        <item x="18"/>
        <item x="130"/>
        <item x="131"/>
        <item x="116"/>
        <item x="52"/>
        <item x="0"/>
        <item x="283"/>
        <item x="96"/>
        <item x="264"/>
        <item x="211"/>
        <item x="222"/>
        <item x="173"/>
        <item x="120"/>
        <item x="255"/>
        <item x="156"/>
        <item x="64"/>
        <item x="66"/>
        <item x="49"/>
        <item x="45"/>
        <item x="33"/>
        <item x="167"/>
        <item x="147"/>
        <item x="20"/>
        <item x="291"/>
        <item x="195"/>
        <item x="160"/>
        <item x="138"/>
        <item x="242"/>
        <item x="206"/>
        <item x="241"/>
        <item x="102"/>
        <item x="140"/>
        <item x="263"/>
        <item x="220"/>
        <item x="189"/>
        <item x="217"/>
        <item x="207"/>
        <item x="208"/>
        <item t="default"/>
      </items>
    </pivotField>
    <pivotField showAll="0">
      <items count="13">
        <item x="10"/>
        <item x="7"/>
        <item x="2"/>
        <item x="8"/>
        <item x="0"/>
        <item x="6"/>
        <item x="9"/>
        <item x="4"/>
        <item x="5"/>
        <item x="11"/>
        <item x="1"/>
        <item x="3"/>
        <item t="default"/>
      </items>
    </pivotField>
    <pivotField axis="axisRow" showAll="0" sortType="descending">
      <items count="9">
        <item x="6"/>
        <item x="5"/>
        <item x="0"/>
        <item x="3"/>
        <item x="4"/>
        <item x="7"/>
        <item x="2"/>
        <item x="1"/>
        <item t="default"/>
      </items>
      <autoSortScope>
        <pivotArea dataOnly="0" outline="0" fieldPosition="0">
          <references count="1">
            <reference field="4294967294" count="1" selected="0">
              <x v="0"/>
            </reference>
          </references>
        </pivotArea>
      </autoSortScope>
    </pivotField>
    <pivotField showAll="0">
      <items count="3">
        <item x="0"/>
        <item x="1"/>
        <item t="default"/>
      </items>
    </pivotField>
    <pivotField showAll="0"/>
    <pivotField showAll="0"/>
    <pivotField showAll="0">
      <items count="5">
        <item x="2"/>
        <item x="1"/>
        <item x="0"/>
        <item x="3"/>
        <item t="default"/>
      </items>
    </pivotField>
    <pivotField dataField="1"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h="1" x="0"/>
        <item x="1"/>
        <item h="1" x="2"/>
        <item h="1" x="3"/>
        <item h="1" x="4"/>
        <item h="1" x="5"/>
        <item h="1" x="6"/>
        <item h="1" x="7"/>
        <item h="1" x="8"/>
        <item h="1" x="9"/>
        <item h="1" x="10"/>
        <item h="1" x="11"/>
        <item h="1" x="12"/>
        <item h="1" x="13"/>
        <item t="default"/>
      </items>
    </pivotField>
  </pivotFields>
  <rowFields count="1">
    <field x="3"/>
  </rowFields>
  <rowItems count="9">
    <i>
      <x v="1"/>
    </i>
    <i>
      <x v="7"/>
    </i>
    <i>
      <x v="4"/>
    </i>
    <i>
      <x/>
    </i>
    <i>
      <x v="3"/>
    </i>
    <i>
      <x v="6"/>
    </i>
    <i>
      <x v="5"/>
    </i>
    <i>
      <x v="2"/>
    </i>
    <i t="grand">
      <x/>
    </i>
  </rowItems>
  <colItems count="1">
    <i/>
  </colItems>
  <dataFields count="1">
    <dataField name="Total Revenue" fld="8" baseField="0" baseItem="0"/>
  </dataFields>
  <chartFormats count="2">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D449D41-0A5E-4EBD-9E05-FD50D705362E}"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A3:B5" firstHeaderRow="1" firstDataRow="1" firstDataCol="1"/>
  <pivotFields count="11">
    <pivotField showAll="0"/>
    <pivotField axis="axisRow" numFmtId="14" showAll="0">
      <items count="302">
        <item x="124"/>
        <item x="299"/>
        <item x="4"/>
        <item x="276"/>
        <item x="256"/>
        <item x="240"/>
        <item x="101"/>
        <item x="157"/>
        <item x="29"/>
        <item x="260"/>
        <item x="56"/>
        <item x="248"/>
        <item x="2"/>
        <item x="229"/>
        <item x="282"/>
        <item x="273"/>
        <item x="286"/>
        <item x="269"/>
        <item x="62"/>
        <item x="132"/>
        <item x="73"/>
        <item x="163"/>
        <item x="188"/>
        <item x="227"/>
        <item x="41"/>
        <item x="239"/>
        <item x="80"/>
        <item x="79"/>
        <item x="281"/>
        <item x="194"/>
        <item x="91"/>
        <item x="110"/>
        <item x="137"/>
        <item x="176"/>
        <item x="9"/>
        <item x="85"/>
        <item x="289"/>
        <item x="288"/>
        <item x="154"/>
        <item x="36"/>
        <item x="280"/>
        <item x="245"/>
        <item x="100"/>
        <item x="178"/>
        <item x="72"/>
        <item x="60"/>
        <item x="191"/>
        <item x="21"/>
        <item x="164"/>
        <item x="50"/>
        <item x="106"/>
        <item x="272"/>
        <item x="122"/>
        <item x="266"/>
        <item x="200"/>
        <item x="54"/>
        <item x="182"/>
        <item x="47"/>
        <item x="216"/>
        <item x="251"/>
        <item x="78"/>
        <item x="1"/>
        <item x="112"/>
        <item x="15"/>
        <item x="133"/>
        <item x="218"/>
        <item x="125"/>
        <item x="105"/>
        <item x="39"/>
        <item x="48"/>
        <item x="187"/>
        <item x="10"/>
        <item x="198"/>
        <item x="69"/>
        <item x="134"/>
        <item x="108"/>
        <item x="170"/>
        <item x="275"/>
        <item x="35"/>
        <item x="236"/>
        <item x="204"/>
        <item x="293"/>
        <item x="219"/>
        <item x="99"/>
        <item x="185"/>
        <item x="232"/>
        <item x="244"/>
        <item x="55"/>
        <item x="27"/>
        <item x="142"/>
        <item x="58"/>
        <item x="86"/>
        <item x="183"/>
        <item x="246"/>
        <item x="13"/>
        <item x="279"/>
        <item x="126"/>
        <item x="77"/>
        <item x="287"/>
        <item x="24"/>
        <item x="193"/>
        <item x="31"/>
        <item x="233"/>
        <item x="179"/>
        <item x="34"/>
        <item x="119"/>
        <item x="136"/>
        <item x="190"/>
        <item x="44"/>
        <item x="205"/>
        <item x="148"/>
        <item x="57"/>
        <item x="237"/>
        <item x="274"/>
        <item x="113"/>
        <item x="141"/>
        <item x="155"/>
        <item x="30"/>
        <item x="152"/>
        <item x="238"/>
        <item x="180"/>
        <item x="223"/>
        <item x="118"/>
        <item x="169"/>
        <item x="109"/>
        <item x="297"/>
        <item x="224"/>
        <item x="212"/>
        <item x="253"/>
        <item x="296"/>
        <item x="149"/>
        <item x="107"/>
        <item x="277"/>
        <item x="175"/>
        <item x="88"/>
        <item x="40"/>
        <item x="196"/>
        <item x="129"/>
        <item x="259"/>
        <item x="117"/>
        <item x="114"/>
        <item x="166"/>
        <item x="65"/>
        <item x="252"/>
        <item x="5"/>
        <item x="146"/>
        <item x="51"/>
        <item x="168"/>
        <item x="210"/>
        <item x="59"/>
        <item x="98"/>
        <item x="32"/>
        <item x="153"/>
        <item x="63"/>
        <item x="202"/>
        <item x="162"/>
        <item x="165"/>
        <item x="7"/>
        <item x="12"/>
        <item x="201"/>
        <item x="127"/>
        <item x="150"/>
        <item x="82"/>
        <item x="267"/>
        <item x="84"/>
        <item x="262"/>
        <item x="203"/>
        <item x="37"/>
        <item x="42"/>
        <item x="95"/>
        <item x="254"/>
        <item x="234"/>
        <item x="144"/>
        <item x="192"/>
        <item x="250"/>
        <item x="270"/>
        <item x="111"/>
        <item x="225"/>
        <item x="161"/>
        <item x="92"/>
        <item x="172"/>
        <item x="28"/>
        <item x="265"/>
        <item x="74"/>
        <item x="247"/>
        <item x="257"/>
        <item x="75"/>
        <item x="159"/>
        <item x="38"/>
        <item x="70"/>
        <item x="46"/>
        <item x="231"/>
        <item x="123"/>
        <item x="174"/>
        <item x="68"/>
        <item x="209"/>
        <item x="103"/>
        <item x="298"/>
        <item x="97"/>
        <item x="104"/>
        <item x="284"/>
        <item x="139"/>
        <item x="25"/>
        <item x="83"/>
        <item x="294"/>
        <item x="278"/>
        <item x="71"/>
        <item x="135"/>
        <item x="215"/>
        <item x="22"/>
        <item x="290"/>
        <item x="17"/>
        <item x="213"/>
        <item x="261"/>
        <item x="115"/>
        <item x="258"/>
        <item x="93"/>
        <item x="235"/>
        <item x="158"/>
        <item x="230"/>
        <item x="145"/>
        <item x="300"/>
        <item x="271"/>
        <item x="221"/>
        <item x="243"/>
        <item x="53"/>
        <item x="67"/>
        <item x="26"/>
        <item x="186"/>
        <item x="94"/>
        <item x="228"/>
        <item x="3"/>
        <item x="87"/>
        <item x="90"/>
        <item x="14"/>
        <item x="268"/>
        <item x="249"/>
        <item x="226"/>
        <item x="81"/>
        <item x="8"/>
        <item x="143"/>
        <item x="177"/>
        <item x="181"/>
        <item x="16"/>
        <item x="151"/>
        <item x="285"/>
        <item x="89"/>
        <item x="292"/>
        <item x="19"/>
        <item x="23"/>
        <item x="295"/>
        <item x="197"/>
        <item x="6"/>
        <item x="61"/>
        <item x="11"/>
        <item x="184"/>
        <item x="199"/>
        <item x="214"/>
        <item x="171"/>
        <item x="43"/>
        <item x="121"/>
        <item x="128"/>
        <item x="76"/>
        <item x="18"/>
        <item x="130"/>
        <item x="131"/>
        <item x="116"/>
        <item x="52"/>
        <item x="0"/>
        <item x="283"/>
        <item x="96"/>
        <item x="264"/>
        <item x="211"/>
        <item x="222"/>
        <item x="173"/>
        <item x="120"/>
        <item x="255"/>
        <item x="156"/>
        <item x="64"/>
        <item x="66"/>
        <item x="49"/>
        <item x="45"/>
        <item x="33"/>
        <item x="167"/>
        <item x="147"/>
        <item x="20"/>
        <item x="291"/>
        <item x="195"/>
        <item x="160"/>
        <item x="138"/>
        <item x="242"/>
        <item x="206"/>
        <item x="241"/>
        <item x="102"/>
        <item x="140"/>
        <item x="263"/>
        <item x="220"/>
        <item x="189"/>
        <item x="217"/>
        <item x="207"/>
        <item x="208"/>
        <item t="default"/>
      </items>
    </pivotField>
    <pivotField showAll="0">
      <items count="13">
        <item x="10"/>
        <item x="7"/>
        <item x="2"/>
        <item x="8"/>
        <item x="0"/>
        <item x="6"/>
        <item x="9"/>
        <item x="4"/>
        <item x="5"/>
        <item x="11"/>
        <item x="1"/>
        <item x="3"/>
        <item t="default"/>
      </items>
    </pivotField>
    <pivotField showAll="0">
      <items count="9">
        <item x="6"/>
        <item x="5"/>
        <item x="0"/>
        <item x="3"/>
        <item x="4"/>
        <item x="7"/>
        <item x="2"/>
        <item x="1"/>
        <item t="default"/>
      </items>
    </pivotField>
    <pivotField showAll="0">
      <items count="3">
        <item x="0"/>
        <item x="1"/>
        <item t="default"/>
      </items>
    </pivotField>
    <pivotField showAll="0"/>
    <pivotField showAll="0"/>
    <pivotField showAll="0">
      <items count="5">
        <item x="2"/>
        <item x="1"/>
        <item x="0"/>
        <item x="3"/>
        <item t="default"/>
      </items>
    </pivotField>
    <pivotField dataField="1" showAll="0"/>
    <pivotField axis="axisRow"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Row" showAll="0">
      <items count="15">
        <item h="1" sd="0" x="0"/>
        <item sd="0" x="1"/>
        <item h="1" sd="0" x="2"/>
        <item h="1" sd="0" x="3"/>
        <item h="1" sd="0" x="4"/>
        <item h="1" sd="0" x="5"/>
        <item h="1" sd="0" x="6"/>
        <item h="1" sd="0" x="7"/>
        <item h="1" sd="0" x="8"/>
        <item h="1" sd="0" x="9"/>
        <item h="1" sd="0" x="10"/>
        <item h="1" sd="0" x="11"/>
        <item h="1" sd="0" x="12"/>
        <item h="1" sd="0" x="13"/>
        <item t="default"/>
      </items>
    </pivotField>
  </pivotFields>
  <rowFields count="3">
    <field x="10"/>
    <field x="9"/>
    <field x="1"/>
  </rowFields>
  <rowItems count="2">
    <i>
      <x v="1"/>
    </i>
    <i t="grand">
      <x/>
    </i>
  </rowItems>
  <colItems count="1">
    <i/>
  </colItems>
  <dataFields count="1">
    <dataField name="Sum of Sales_Amount" fld="8" baseField="0" baseItem="0"/>
  </dataFields>
  <chartFormats count="2">
    <chartFormat chart="3" format="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FC32ABB-C092-4A71-B70B-D35682334F11}"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A3:B8" firstHeaderRow="1" firstDataRow="1" firstDataCol="1"/>
  <pivotFields count="11">
    <pivotField showAll="0"/>
    <pivotField numFmtId="14" showAll="0">
      <items count="302">
        <item x="124"/>
        <item x="299"/>
        <item x="4"/>
        <item x="276"/>
        <item x="256"/>
        <item x="240"/>
        <item x="101"/>
        <item x="157"/>
        <item x="29"/>
        <item x="260"/>
        <item x="56"/>
        <item x="248"/>
        <item x="2"/>
        <item x="229"/>
        <item x="282"/>
        <item x="273"/>
        <item x="286"/>
        <item x="269"/>
        <item x="62"/>
        <item x="132"/>
        <item x="73"/>
        <item x="163"/>
        <item x="188"/>
        <item x="227"/>
        <item x="41"/>
        <item x="239"/>
        <item x="80"/>
        <item x="79"/>
        <item x="281"/>
        <item x="194"/>
        <item x="91"/>
        <item x="110"/>
        <item x="137"/>
        <item x="176"/>
        <item x="9"/>
        <item x="85"/>
        <item x="289"/>
        <item x="288"/>
        <item x="154"/>
        <item x="36"/>
        <item x="280"/>
        <item x="245"/>
        <item x="100"/>
        <item x="178"/>
        <item x="72"/>
        <item x="60"/>
        <item x="191"/>
        <item x="21"/>
        <item x="164"/>
        <item x="50"/>
        <item x="106"/>
        <item x="272"/>
        <item x="122"/>
        <item x="266"/>
        <item x="200"/>
        <item x="54"/>
        <item x="182"/>
        <item x="47"/>
        <item x="216"/>
        <item x="251"/>
        <item x="78"/>
        <item x="1"/>
        <item x="112"/>
        <item x="15"/>
        <item x="133"/>
        <item x="218"/>
        <item x="125"/>
        <item x="105"/>
        <item x="39"/>
        <item x="48"/>
        <item x="187"/>
        <item x="10"/>
        <item x="198"/>
        <item x="69"/>
        <item x="134"/>
        <item x="108"/>
        <item x="170"/>
        <item x="275"/>
        <item x="35"/>
        <item x="236"/>
        <item x="204"/>
        <item x="293"/>
        <item x="219"/>
        <item x="99"/>
        <item x="185"/>
        <item x="232"/>
        <item x="244"/>
        <item x="55"/>
        <item x="27"/>
        <item x="142"/>
        <item x="58"/>
        <item x="86"/>
        <item x="183"/>
        <item x="246"/>
        <item x="13"/>
        <item x="279"/>
        <item x="126"/>
        <item x="77"/>
        <item x="287"/>
        <item x="24"/>
        <item x="193"/>
        <item x="31"/>
        <item x="233"/>
        <item x="179"/>
        <item x="34"/>
        <item x="119"/>
        <item x="136"/>
        <item x="190"/>
        <item x="44"/>
        <item x="205"/>
        <item x="148"/>
        <item x="57"/>
        <item x="237"/>
        <item x="274"/>
        <item x="113"/>
        <item x="141"/>
        <item x="155"/>
        <item x="30"/>
        <item x="152"/>
        <item x="238"/>
        <item x="180"/>
        <item x="223"/>
        <item x="118"/>
        <item x="169"/>
        <item x="109"/>
        <item x="297"/>
        <item x="224"/>
        <item x="212"/>
        <item x="253"/>
        <item x="296"/>
        <item x="149"/>
        <item x="107"/>
        <item x="277"/>
        <item x="175"/>
        <item x="88"/>
        <item x="40"/>
        <item x="196"/>
        <item x="129"/>
        <item x="259"/>
        <item x="117"/>
        <item x="114"/>
        <item x="166"/>
        <item x="65"/>
        <item x="252"/>
        <item x="5"/>
        <item x="146"/>
        <item x="51"/>
        <item x="168"/>
        <item x="210"/>
        <item x="59"/>
        <item x="98"/>
        <item x="32"/>
        <item x="153"/>
        <item x="63"/>
        <item x="202"/>
        <item x="162"/>
        <item x="165"/>
        <item x="7"/>
        <item x="12"/>
        <item x="201"/>
        <item x="127"/>
        <item x="150"/>
        <item x="82"/>
        <item x="267"/>
        <item x="84"/>
        <item x="262"/>
        <item x="203"/>
        <item x="37"/>
        <item x="42"/>
        <item x="95"/>
        <item x="254"/>
        <item x="234"/>
        <item x="144"/>
        <item x="192"/>
        <item x="250"/>
        <item x="270"/>
        <item x="111"/>
        <item x="225"/>
        <item x="161"/>
        <item x="92"/>
        <item x="172"/>
        <item x="28"/>
        <item x="265"/>
        <item x="74"/>
        <item x="247"/>
        <item x="257"/>
        <item x="75"/>
        <item x="159"/>
        <item x="38"/>
        <item x="70"/>
        <item x="46"/>
        <item x="231"/>
        <item x="123"/>
        <item x="174"/>
        <item x="68"/>
        <item x="209"/>
        <item x="103"/>
        <item x="298"/>
        <item x="97"/>
        <item x="104"/>
        <item x="284"/>
        <item x="139"/>
        <item x="25"/>
        <item x="83"/>
        <item x="294"/>
        <item x="278"/>
        <item x="71"/>
        <item x="135"/>
        <item x="215"/>
        <item x="22"/>
        <item x="290"/>
        <item x="17"/>
        <item x="213"/>
        <item x="261"/>
        <item x="115"/>
        <item x="258"/>
        <item x="93"/>
        <item x="235"/>
        <item x="158"/>
        <item x="230"/>
        <item x="145"/>
        <item x="300"/>
        <item x="271"/>
        <item x="221"/>
        <item x="243"/>
        <item x="53"/>
        <item x="67"/>
        <item x="26"/>
        <item x="186"/>
        <item x="94"/>
        <item x="228"/>
        <item x="3"/>
        <item x="87"/>
        <item x="90"/>
        <item x="14"/>
        <item x="268"/>
        <item x="249"/>
        <item x="226"/>
        <item x="81"/>
        <item x="8"/>
        <item x="143"/>
        <item x="177"/>
        <item x="181"/>
        <item x="16"/>
        <item x="151"/>
        <item x="285"/>
        <item x="89"/>
        <item x="292"/>
        <item x="19"/>
        <item x="23"/>
        <item x="295"/>
        <item x="197"/>
        <item x="6"/>
        <item x="61"/>
        <item x="11"/>
        <item x="184"/>
        <item x="199"/>
        <item x="214"/>
        <item x="171"/>
        <item x="43"/>
        <item x="121"/>
        <item x="128"/>
        <item x="76"/>
        <item x="18"/>
        <item x="130"/>
        <item x="131"/>
        <item x="116"/>
        <item x="52"/>
        <item x="0"/>
        <item x="283"/>
        <item x="96"/>
        <item x="264"/>
        <item x="211"/>
        <item x="222"/>
        <item x="173"/>
        <item x="120"/>
        <item x="255"/>
        <item x="156"/>
        <item x="64"/>
        <item x="66"/>
        <item x="49"/>
        <item x="45"/>
        <item x="33"/>
        <item x="167"/>
        <item x="147"/>
        <item x="20"/>
        <item x="291"/>
        <item x="195"/>
        <item x="160"/>
        <item x="138"/>
        <item x="242"/>
        <item x="206"/>
        <item x="241"/>
        <item x="102"/>
        <item x="140"/>
        <item x="263"/>
        <item x="220"/>
        <item x="189"/>
        <item x="217"/>
        <item x="207"/>
        <item x="208"/>
        <item t="default"/>
      </items>
    </pivotField>
    <pivotField showAll="0">
      <items count="13">
        <item x="10"/>
        <item x="7"/>
        <item x="2"/>
        <item x="8"/>
        <item x="0"/>
        <item x="6"/>
        <item x="9"/>
        <item x="4"/>
        <item x="5"/>
        <item x="11"/>
        <item x="1"/>
        <item x="3"/>
        <item t="default"/>
      </items>
    </pivotField>
    <pivotField showAll="0">
      <items count="9">
        <item x="6"/>
        <item x="5"/>
        <item x="0"/>
        <item x="3"/>
        <item x="4"/>
        <item x="7"/>
        <item x="2"/>
        <item x="1"/>
        <item t="default"/>
      </items>
    </pivotField>
    <pivotField showAll="0">
      <items count="3">
        <item x="0"/>
        <item x="1"/>
        <item t="default"/>
      </items>
    </pivotField>
    <pivotField showAll="0"/>
    <pivotField showAll="0"/>
    <pivotField axis="axisRow" showAll="0">
      <items count="5">
        <item x="2"/>
        <item x="1"/>
        <item x="0"/>
        <item x="3"/>
        <item t="default"/>
      </items>
    </pivotField>
    <pivotField dataField="1" showAll="0"/>
    <pivotField showAll="0" defaultSubtotal="0"/>
    <pivotField showAll="0" defaultSubtotal="0">
      <items count="14">
        <item h="1" x="0"/>
        <item x="1"/>
        <item h="1" x="2"/>
        <item h="1" x="3"/>
        <item h="1" x="4"/>
        <item h="1" x="5"/>
        <item h="1" x="6"/>
        <item h="1" x="7"/>
        <item h="1" x="8"/>
        <item h="1" x="9"/>
        <item h="1" x="10"/>
        <item h="1" x="11"/>
        <item h="1" x="12"/>
        <item h="1" x="13"/>
      </items>
    </pivotField>
  </pivotFields>
  <rowFields count="1">
    <field x="7"/>
  </rowFields>
  <rowItems count="5">
    <i>
      <x/>
    </i>
    <i>
      <x v="1"/>
    </i>
    <i>
      <x v="2"/>
    </i>
    <i>
      <x v="3"/>
    </i>
    <i t="grand">
      <x/>
    </i>
  </rowItems>
  <colItems count="1">
    <i/>
  </colItems>
  <dataFields count="1">
    <dataField name="Sum of Sales_Amount" fld="8" baseField="0" baseItem="0"/>
  </dataFields>
  <chartFormats count="2">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3BF66D6-4168-4FB3-91B5-59AF0E0A4F9E}"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3:B6" firstHeaderRow="1" firstDataRow="1" firstDataCol="1"/>
  <pivotFields count="11">
    <pivotField showAll="0"/>
    <pivotField numFmtId="14" showAll="0">
      <items count="302">
        <item x="124"/>
        <item x="299"/>
        <item x="4"/>
        <item x="276"/>
        <item x="256"/>
        <item x="240"/>
        <item x="101"/>
        <item x="157"/>
        <item x="29"/>
        <item x="260"/>
        <item x="56"/>
        <item x="248"/>
        <item x="2"/>
        <item x="229"/>
        <item x="282"/>
        <item x="273"/>
        <item x="286"/>
        <item x="269"/>
        <item x="62"/>
        <item x="132"/>
        <item x="73"/>
        <item x="163"/>
        <item x="188"/>
        <item x="227"/>
        <item x="41"/>
        <item x="239"/>
        <item x="80"/>
        <item x="79"/>
        <item x="281"/>
        <item x="194"/>
        <item x="91"/>
        <item x="110"/>
        <item x="137"/>
        <item x="176"/>
        <item x="9"/>
        <item x="85"/>
        <item x="289"/>
        <item x="288"/>
        <item x="154"/>
        <item x="36"/>
        <item x="280"/>
        <item x="245"/>
        <item x="100"/>
        <item x="178"/>
        <item x="72"/>
        <item x="60"/>
        <item x="191"/>
        <item x="21"/>
        <item x="164"/>
        <item x="50"/>
        <item x="106"/>
        <item x="272"/>
        <item x="122"/>
        <item x="266"/>
        <item x="200"/>
        <item x="54"/>
        <item x="182"/>
        <item x="47"/>
        <item x="216"/>
        <item x="251"/>
        <item x="78"/>
        <item x="1"/>
        <item x="112"/>
        <item x="15"/>
        <item x="133"/>
        <item x="218"/>
        <item x="125"/>
        <item x="105"/>
        <item x="39"/>
        <item x="48"/>
        <item x="187"/>
        <item x="10"/>
        <item x="198"/>
        <item x="69"/>
        <item x="134"/>
        <item x="108"/>
        <item x="170"/>
        <item x="275"/>
        <item x="35"/>
        <item x="236"/>
        <item x="204"/>
        <item x="293"/>
        <item x="219"/>
        <item x="99"/>
        <item x="185"/>
        <item x="232"/>
        <item x="244"/>
        <item x="55"/>
        <item x="27"/>
        <item x="142"/>
        <item x="58"/>
        <item x="86"/>
        <item x="183"/>
        <item x="246"/>
        <item x="13"/>
        <item x="279"/>
        <item x="126"/>
        <item x="77"/>
        <item x="287"/>
        <item x="24"/>
        <item x="193"/>
        <item x="31"/>
        <item x="233"/>
        <item x="179"/>
        <item x="34"/>
        <item x="119"/>
        <item x="136"/>
        <item x="190"/>
        <item x="44"/>
        <item x="205"/>
        <item x="148"/>
        <item x="57"/>
        <item x="237"/>
        <item x="274"/>
        <item x="113"/>
        <item x="141"/>
        <item x="155"/>
        <item x="30"/>
        <item x="152"/>
        <item x="238"/>
        <item x="180"/>
        <item x="223"/>
        <item x="118"/>
        <item x="169"/>
        <item x="109"/>
        <item x="297"/>
        <item x="224"/>
        <item x="212"/>
        <item x="253"/>
        <item x="296"/>
        <item x="149"/>
        <item x="107"/>
        <item x="277"/>
        <item x="175"/>
        <item x="88"/>
        <item x="40"/>
        <item x="196"/>
        <item x="129"/>
        <item x="259"/>
        <item x="117"/>
        <item x="114"/>
        <item x="166"/>
        <item x="65"/>
        <item x="252"/>
        <item x="5"/>
        <item x="146"/>
        <item x="51"/>
        <item x="168"/>
        <item x="210"/>
        <item x="59"/>
        <item x="98"/>
        <item x="32"/>
        <item x="153"/>
        <item x="63"/>
        <item x="202"/>
        <item x="162"/>
        <item x="165"/>
        <item x="7"/>
        <item x="12"/>
        <item x="201"/>
        <item x="127"/>
        <item x="150"/>
        <item x="82"/>
        <item x="267"/>
        <item x="84"/>
        <item x="262"/>
        <item x="203"/>
        <item x="37"/>
        <item x="42"/>
        <item x="95"/>
        <item x="254"/>
        <item x="234"/>
        <item x="144"/>
        <item x="192"/>
        <item x="250"/>
        <item x="270"/>
        <item x="111"/>
        <item x="225"/>
        <item x="161"/>
        <item x="92"/>
        <item x="172"/>
        <item x="28"/>
        <item x="265"/>
        <item x="74"/>
        <item x="247"/>
        <item x="257"/>
        <item x="75"/>
        <item x="159"/>
        <item x="38"/>
        <item x="70"/>
        <item x="46"/>
        <item x="231"/>
        <item x="123"/>
        <item x="174"/>
        <item x="68"/>
        <item x="209"/>
        <item x="103"/>
        <item x="298"/>
        <item x="97"/>
        <item x="104"/>
        <item x="284"/>
        <item x="139"/>
        <item x="25"/>
        <item x="83"/>
        <item x="294"/>
        <item x="278"/>
        <item x="71"/>
        <item x="135"/>
        <item x="215"/>
        <item x="22"/>
        <item x="290"/>
        <item x="17"/>
        <item x="213"/>
        <item x="261"/>
        <item x="115"/>
        <item x="258"/>
        <item x="93"/>
        <item x="235"/>
        <item x="158"/>
        <item x="230"/>
        <item x="145"/>
        <item x="300"/>
        <item x="271"/>
        <item x="221"/>
        <item x="243"/>
        <item x="53"/>
        <item x="67"/>
        <item x="26"/>
        <item x="186"/>
        <item x="94"/>
        <item x="228"/>
        <item x="3"/>
        <item x="87"/>
        <item x="90"/>
        <item x="14"/>
        <item x="268"/>
        <item x="249"/>
        <item x="226"/>
        <item x="81"/>
        <item x="8"/>
        <item x="143"/>
        <item x="177"/>
        <item x="181"/>
        <item x="16"/>
        <item x="151"/>
        <item x="285"/>
        <item x="89"/>
        <item x="292"/>
        <item x="19"/>
        <item x="23"/>
        <item x="295"/>
        <item x="197"/>
        <item x="6"/>
        <item x="61"/>
        <item x="11"/>
        <item x="184"/>
        <item x="199"/>
        <item x="214"/>
        <item x="171"/>
        <item x="43"/>
        <item x="121"/>
        <item x="128"/>
        <item x="76"/>
        <item x="18"/>
        <item x="130"/>
        <item x="131"/>
        <item x="116"/>
        <item x="52"/>
        <item x="0"/>
        <item x="283"/>
        <item x="96"/>
        <item x="264"/>
        <item x="211"/>
        <item x="222"/>
        <item x="173"/>
        <item x="120"/>
        <item x="255"/>
        <item x="156"/>
        <item x="64"/>
        <item x="66"/>
        <item x="49"/>
        <item x="45"/>
        <item x="33"/>
        <item x="167"/>
        <item x="147"/>
        <item x="20"/>
        <item x="291"/>
        <item x="195"/>
        <item x="160"/>
        <item x="138"/>
        <item x="242"/>
        <item x="206"/>
        <item x="241"/>
        <item x="102"/>
        <item x="140"/>
        <item x="263"/>
        <item x="220"/>
        <item x="189"/>
        <item x="217"/>
        <item x="207"/>
        <item x="208"/>
        <item t="default"/>
      </items>
    </pivotField>
    <pivotField showAll="0">
      <items count="13">
        <item x="10"/>
        <item x="7"/>
        <item x="2"/>
        <item x="8"/>
        <item x="0"/>
        <item x="6"/>
        <item x="9"/>
        <item x="4"/>
        <item x="5"/>
        <item x="11"/>
        <item x="1"/>
        <item x="3"/>
        <item t="default"/>
      </items>
    </pivotField>
    <pivotField showAll="0">
      <items count="9">
        <item x="6"/>
        <item x="5"/>
        <item x="0"/>
        <item x="3"/>
        <item x="4"/>
        <item x="7"/>
        <item x="2"/>
        <item x="1"/>
        <item t="default"/>
      </items>
    </pivotField>
    <pivotField axis="axisRow" showAll="0">
      <items count="3">
        <item x="0"/>
        <item x="1"/>
        <item t="default"/>
      </items>
    </pivotField>
    <pivotField showAll="0"/>
    <pivotField showAll="0"/>
    <pivotField showAll="0">
      <items count="5">
        <item x="2"/>
        <item x="1"/>
        <item x="0"/>
        <item x="3"/>
        <item t="default"/>
      </items>
    </pivotField>
    <pivotField dataField="1" showAll="0"/>
    <pivotField showAll="0" defaultSubtotal="0"/>
    <pivotField showAll="0" defaultSubtotal="0">
      <items count="14">
        <item h="1" x="0"/>
        <item x="1"/>
        <item h="1" x="2"/>
        <item h="1" x="3"/>
        <item h="1" x="4"/>
        <item h="1" x="5"/>
        <item h="1" x="6"/>
        <item h="1" x="7"/>
        <item h="1" x="8"/>
        <item h="1" x="9"/>
        <item h="1" x="10"/>
        <item h="1" x="11"/>
        <item h="1" x="12"/>
        <item h="1" x="13"/>
      </items>
    </pivotField>
  </pivotFields>
  <rowFields count="1">
    <field x="4"/>
  </rowFields>
  <rowItems count="3">
    <i>
      <x/>
    </i>
    <i>
      <x v="1"/>
    </i>
    <i t="grand">
      <x/>
    </i>
  </rowItems>
  <colItems count="1">
    <i/>
  </colItems>
  <dataFields count="1">
    <dataField name="Sum of Sales_Amount" fld="8" baseField="0" baseItem="0"/>
  </dataFields>
  <chartFormats count="6">
    <chartFormat chart="0" format="0" series="1">
      <pivotArea type="data" outline="0" fieldPosition="0">
        <references count="1">
          <reference field="4294967294" count="1" selected="0">
            <x v="0"/>
          </reference>
        </references>
      </pivotArea>
    </chartFormat>
    <chartFormat chart="4" format="4" series="1">
      <pivotArea type="data" outline="0" fieldPosition="0">
        <references count="1">
          <reference field="4294967294" count="1" selected="0">
            <x v="0"/>
          </reference>
        </references>
      </pivotArea>
    </chartFormat>
    <chartFormat chart="4" format="5">
      <pivotArea type="data" outline="0" fieldPosition="0">
        <references count="2">
          <reference field="4294967294" count="1" selected="0">
            <x v="0"/>
          </reference>
          <reference field="4" count="1" selected="0">
            <x v="0"/>
          </reference>
        </references>
      </pivotArea>
    </chartFormat>
    <chartFormat chart="4" format="6">
      <pivotArea type="data" outline="0" fieldPosition="0">
        <references count="2">
          <reference field="4294967294" count="1" selected="0">
            <x v="0"/>
          </reference>
          <reference field="4" count="1" selected="0">
            <x v="1"/>
          </reference>
        </references>
      </pivotArea>
    </chartFormat>
    <chartFormat chart="0" format="1">
      <pivotArea type="data" outline="0" fieldPosition="0">
        <references count="2">
          <reference field="4294967294" count="1" selected="0">
            <x v="0"/>
          </reference>
          <reference field="4" count="1" selected="0">
            <x v="0"/>
          </reference>
        </references>
      </pivotArea>
    </chartFormat>
    <chartFormat chart="0" format="2">
      <pivotArea type="data" outline="0" fieldPosition="0">
        <references count="2">
          <reference field="4294967294" count="1" selected="0">
            <x v="0"/>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81F99C1-04BA-4C45-B2B2-A7B1A0D0D564}"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3:B16" firstHeaderRow="1" firstDataRow="1" firstDataCol="1"/>
  <pivotFields count="11">
    <pivotField showAll="0"/>
    <pivotField numFmtId="14" showAll="0">
      <items count="302">
        <item x="124"/>
        <item x="299"/>
        <item x="4"/>
        <item x="276"/>
        <item x="256"/>
        <item x="240"/>
        <item x="101"/>
        <item x="157"/>
        <item x="29"/>
        <item x="260"/>
        <item x="56"/>
        <item x="248"/>
        <item x="2"/>
        <item x="229"/>
        <item x="282"/>
        <item x="273"/>
        <item x="286"/>
        <item x="269"/>
        <item x="62"/>
        <item x="132"/>
        <item x="73"/>
        <item x="163"/>
        <item x="188"/>
        <item x="227"/>
        <item x="41"/>
        <item x="239"/>
        <item x="80"/>
        <item x="79"/>
        <item x="281"/>
        <item x="194"/>
        <item x="91"/>
        <item x="110"/>
        <item x="137"/>
        <item x="176"/>
        <item x="9"/>
        <item x="85"/>
        <item x="289"/>
        <item x="288"/>
        <item x="154"/>
        <item x="36"/>
        <item x="280"/>
        <item x="245"/>
        <item x="100"/>
        <item x="178"/>
        <item x="72"/>
        <item x="60"/>
        <item x="191"/>
        <item x="21"/>
        <item x="164"/>
        <item x="50"/>
        <item x="106"/>
        <item x="272"/>
        <item x="122"/>
        <item x="266"/>
        <item x="200"/>
        <item x="54"/>
        <item x="182"/>
        <item x="47"/>
        <item x="216"/>
        <item x="251"/>
        <item x="78"/>
        <item x="1"/>
        <item x="112"/>
        <item x="15"/>
        <item x="133"/>
        <item x="218"/>
        <item x="125"/>
        <item x="105"/>
        <item x="39"/>
        <item x="48"/>
        <item x="187"/>
        <item x="10"/>
        <item x="198"/>
        <item x="69"/>
        <item x="134"/>
        <item x="108"/>
        <item x="170"/>
        <item x="275"/>
        <item x="35"/>
        <item x="236"/>
        <item x="204"/>
        <item x="293"/>
        <item x="219"/>
        <item x="99"/>
        <item x="185"/>
        <item x="232"/>
        <item x="244"/>
        <item x="55"/>
        <item x="27"/>
        <item x="142"/>
        <item x="58"/>
        <item x="86"/>
        <item x="183"/>
        <item x="246"/>
        <item x="13"/>
        <item x="279"/>
        <item x="126"/>
        <item x="77"/>
        <item x="287"/>
        <item x="24"/>
        <item x="193"/>
        <item x="31"/>
        <item x="233"/>
        <item x="179"/>
        <item x="34"/>
        <item x="119"/>
        <item x="136"/>
        <item x="190"/>
        <item x="44"/>
        <item x="205"/>
        <item x="148"/>
        <item x="57"/>
        <item x="237"/>
        <item x="274"/>
        <item x="113"/>
        <item x="141"/>
        <item x="155"/>
        <item x="30"/>
        <item x="152"/>
        <item x="238"/>
        <item x="180"/>
        <item x="223"/>
        <item x="118"/>
        <item x="169"/>
        <item x="109"/>
        <item x="297"/>
        <item x="224"/>
        <item x="212"/>
        <item x="253"/>
        <item x="296"/>
        <item x="149"/>
        <item x="107"/>
        <item x="277"/>
        <item x="175"/>
        <item x="88"/>
        <item x="40"/>
        <item x="196"/>
        <item x="129"/>
        <item x="259"/>
        <item x="117"/>
        <item x="114"/>
        <item x="166"/>
        <item x="65"/>
        <item x="252"/>
        <item x="5"/>
        <item x="146"/>
        <item x="51"/>
        <item x="168"/>
        <item x="210"/>
        <item x="59"/>
        <item x="98"/>
        <item x="32"/>
        <item x="153"/>
        <item x="63"/>
        <item x="202"/>
        <item x="162"/>
        <item x="165"/>
        <item x="7"/>
        <item x="12"/>
        <item x="201"/>
        <item x="127"/>
        <item x="150"/>
        <item x="82"/>
        <item x="267"/>
        <item x="84"/>
        <item x="262"/>
        <item x="203"/>
        <item x="37"/>
        <item x="42"/>
        <item x="95"/>
        <item x="254"/>
        <item x="234"/>
        <item x="144"/>
        <item x="192"/>
        <item x="250"/>
        <item x="270"/>
        <item x="111"/>
        <item x="225"/>
        <item x="161"/>
        <item x="92"/>
        <item x="172"/>
        <item x="28"/>
        <item x="265"/>
        <item x="74"/>
        <item x="247"/>
        <item x="257"/>
        <item x="75"/>
        <item x="159"/>
        <item x="38"/>
        <item x="70"/>
        <item x="46"/>
        <item x="231"/>
        <item x="123"/>
        <item x="174"/>
        <item x="68"/>
        <item x="209"/>
        <item x="103"/>
        <item x="298"/>
        <item x="97"/>
        <item x="104"/>
        <item x="284"/>
        <item x="139"/>
        <item x="25"/>
        <item x="83"/>
        <item x="294"/>
        <item x="278"/>
        <item x="71"/>
        <item x="135"/>
        <item x="215"/>
        <item x="22"/>
        <item x="290"/>
        <item x="17"/>
        <item x="213"/>
        <item x="261"/>
        <item x="115"/>
        <item x="258"/>
        <item x="93"/>
        <item x="235"/>
        <item x="158"/>
        <item x="230"/>
        <item x="145"/>
        <item x="300"/>
        <item x="271"/>
        <item x="221"/>
        <item x="243"/>
        <item x="53"/>
        <item x="67"/>
        <item x="26"/>
        <item x="186"/>
        <item x="94"/>
        <item x="228"/>
        <item x="3"/>
        <item x="87"/>
        <item x="90"/>
        <item x="14"/>
        <item x="268"/>
        <item x="249"/>
        <item x="226"/>
        <item x="81"/>
        <item x="8"/>
        <item x="143"/>
        <item x="177"/>
        <item x="181"/>
        <item x="16"/>
        <item x="151"/>
        <item x="285"/>
        <item x="89"/>
        <item x="292"/>
        <item x="19"/>
        <item x="23"/>
        <item x="295"/>
        <item x="197"/>
        <item x="6"/>
        <item x="61"/>
        <item x="11"/>
        <item x="184"/>
        <item x="199"/>
        <item x="214"/>
        <item x="171"/>
        <item x="43"/>
        <item x="121"/>
        <item x="128"/>
        <item x="76"/>
        <item x="18"/>
        <item x="130"/>
        <item x="131"/>
        <item x="116"/>
        <item x="52"/>
        <item x="0"/>
        <item x="283"/>
        <item x="96"/>
        <item x="264"/>
        <item x="211"/>
        <item x="222"/>
        <item x="173"/>
        <item x="120"/>
        <item x="255"/>
        <item x="156"/>
        <item x="64"/>
        <item x="66"/>
        <item x="49"/>
        <item x="45"/>
        <item x="33"/>
        <item x="167"/>
        <item x="147"/>
        <item x="20"/>
        <item x="291"/>
        <item x="195"/>
        <item x="160"/>
        <item x="138"/>
        <item x="242"/>
        <item x="206"/>
        <item x="241"/>
        <item x="102"/>
        <item x="140"/>
        <item x="263"/>
        <item x="220"/>
        <item x="189"/>
        <item x="217"/>
        <item x="207"/>
        <item x="208"/>
        <item t="default"/>
      </items>
    </pivotField>
    <pivotField axis="axisRow" showAll="0" sortType="descending">
      <items count="13">
        <item x="10"/>
        <item x="7"/>
        <item x="2"/>
        <item x="8"/>
        <item x="0"/>
        <item x="6"/>
        <item x="9"/>
        <item x="4"/>
        <item x="5"/>
        <item x="11"/>
        <item x="1"/>
        <item x="3"/>
        <item t="default"/>
      </items>
      <autoSortScope>
        <pivotArea dataOnly="0" outline="0" fieldPosition="0">
          <references count="1">
            <reference field="4294967294" count="1" selected="0">
              <x v="0"/>
            </reference>
          </references>
        </pivotArea>
      </autoSortScope>
    </pivotField>
    <pivotField showAll="0">
      <items count="9">
        <item x="6"/>
        <item x="5"/>
        <item x="0"/>
        <item x="3"/>
        <item x="4"/>
        <item x="7"/>
        <item x="2"/>
        <item x="1"/>
        <item t="default"/>
      </items>
    </pivotField>
    <pivotField showAll="0">
      <items count="3">
        <item x="0"/>
        <item x="1"/>
        <item t="default"/>
      </items>
    </pivotField>
    <pivotField showAll="0"/>
    <pivotField showAll="0"/>
    <pivotField showAll="0">
      <items count="5">
        <item x="2"/>
        <item x="1"/>
        <item x="0"/>
        <item x="3"/>
        <item t="default"/>
      </items>
    </pivotField>
    <pivotField dataField="1"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h="1" x="0"/>
        <item x="1"/>
        <item h="1" x="2"/>
        <item h="1" x="3"/>
        <item h="1" x="4"/>
        <item h="1" x="5"/>
        <item h="1" x="6"/>
        <item h="1" x="7"/>
        <item h="1" x="8"/>
        <item h="1" x="9"/>
        <item h="1" x="10"/>
        <item h="1" x="11"/>
        <item h="1" x="12"/>
        <item h="1" x="13"/>
        <item t="default"/>
      </items>
    </pivotField>
  </pivotFields>
  <rowFields count="1">
    <field x="2"/>
  </rowFields>
  <rowItems count="13">
    <i>
      <x v="5"/>
    </i>
    <i>
      <x v="6"/>
    </i>
    <i>
      <x v="1"/>
    </i>
    <i>
      <x v="8"/>
    </i>
    <i>
      <x v="10"/>
    </i>
    <i>
      <x v="2"/>
    </i>
    <i>
      <x v="7"/>
    </i>
    <i>
      <x v="4"/>
    </i>
    <i>
      <x/>
    </i>
    <i>
      <x v="11"/>
    </i>
    <i>
      <x v="3"/>
    </i>
    <i>
      <x v="9"/>
    </i>
    <i t="grand">
      <x/>
    </i>
  </rowItems>
  <colItems count="1">
    <i/>
  </colItems>
  <dataFields count="1">
    <dataField name="Sum of Sales_Amount" fld="8" baseField="0" baseItem="0"/>
  </dataFields>
  <chartFormats count="2">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 xr10:uid="{F0C1F73F-F776-49A3-8C54-8F8E8BEA428C}" sourceName="Customer">
  <pivotTables>
    <pivotTable tabId="11" name="PivotTable2"/>
    <pivotTable tabId="14" name="PivotTable5"/>
    <pivotTable tabId="10" name="PivotTable1"/>
    <pivotTable tabId="12" name="PivotTable3"/>
    <pivotTable tabId="13" name="PivotTable4"/>
  </pivotTables>
  <data>
    <tabular pivotCacheId="349014983">
      <items count="12">
        <i x="10" s="1"/>
        <i x="7" s="1"/>
        <i x="2" s="1"/>
        <i x="8" s="1"/>
        <i x="0" s="1"/>
        <i x="6" s="1"/>
        <i x="9" s="1"/>
        <i x="4" s="1"/>
        <i x="5" s="1"/>
        <i x="11" s="1"/>
        <i x="1"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 xr10:uid="{E7E9E287-3021-4310-9BCF-B4582EC275A0}" sourceName="Product">
  <pivotTables>
    <pivotTable tabId="11" name="PivotTable2"/>
    <pivotTable tabId="14" name="PivotTable5"/>
    <pivotTable tabId="10" name="PivotTable1"/>
    <pivotTable tabId="12" name="PivotTable3"/>
    <pivotTable tabId="13" name="PivotTable4"/>
  </pivotTables>
  <data>
    <tabular pivotCacheId="349014983">
      <items count="8">
        <i x="6" s="1"/>
        <i x="5" s="1"/>
        <i x="0" s="1"/>
        <i x="3" s="1"/>
        <i x="4" s="1"/>
        <i x="7" s="1"/>
        <i x="2"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E2858C50-7255-4FAE-94CB-ADB8D9947C56}" sourceName="Category">
  <pivotTables>
    <pivotTable tabId="11" name="PivotTable2"/>
    <pivotTable tabId="14" name="PivotTable5"/>
    <pivotTable tabId="10" name="PivotTable1"/>
    <pivotTable tabId="12" name="PivotTable3"/>
    <pivotTable tabId="13" name="PivotTable4"/>
  </pivotTables>
  <data>
    <tabular pivotCacheId="349014983">
      <items count="2">
        <i x="0"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2F082D26-D20B-4D88-B631-EC0D19D63D53}" sourceName="Region">
  <pivotTables>
    <pivotTable tabId="11" name="PivotTable2"/>
    <pivotTable tabId="14" name="PivotTable5"/>
    <pivotTable tabId="10" name="PivotTable1"/>
    <pivotTable tabId="12" name="PivotTable3"/>
    <pivotTable tabId="13" name="PivotTable4"/>
  </pivotTables>
  <data>
    <tabular pivotCacheId="349014983">
      <items count="4">
        <i x="2" s="1"/>
        <i x="1" s="1"/>
        <i x="0" s="1"/>
        <i x="3"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Date" xr10:uid="{74C6ECD0-41CC-4E73-9026-F9C7C7813E65}" sourceName="Months (Date)">
  <pivotTables>
    <pivotTable tabId="11" name="PivotTable2"/>
    <pivotTable tabId="14" name="PivotTable5"/>
    <pivotTable tabId="10" name="PivotTable1"/>
    <pivotTable tabId="12" name="PivotTable3"/>
    <pivotTable tabId="13" name="PivotTable4"/>
  </pivotTables>
  <data>
    <tabular pivotCacheId="349014983">
      <items count="14">
        <i x="1" s="1"/>
        <i x="2"/>
        <i x="3"/>
        <i x="4"/>
        <i x="5"/>
        <i x="6"/>
        <i x="7"/>
        <i x="8"/>
        <i x="9"/>
        <i x="10"/>
        <i x="11"/>
        <i x="12"/>
        <i x="0" nd="1"/>
        <i x="13"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ustomer" xr10:uid="{05E35375-EBC8-4EED-9932-CBB1CFA1AE59}" cache="Slicer_Customer" caption="Customer" columnCount="3" rowHeight="257175"/>
  <slicer name="Product" xr10:uid="{1EE11F51-E380-4A00-AF88-454636DB9B97}" cache="Slicer_Product" caption="Product" columnCount="2" rowHeight="257175"/>
  <slicer name="Category" xr10:uid="{20FB4D84-358C-4F19-9540-D5CF051380E8}" cache="Slicer_Category" caption="Category" rowHeight="257175"/>
  <slicer name="Region" xr10:uid="{ED3F5CCC-169C-4798-B3C1-B492E3746460}" cache="Slicer_Region" caption="Region" rowHeight="257175"/>
  <slicer name="Months (Date)" xr10:uid="{99CE5781-9E14-42D8-8165-DE86CEE60665}" cache="Slicer_Months__Date" caption="Months (Date)" columnCount="3" rowHeight="25717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 1" xr10:uid="{09F9F8F3-C53F-426F-8448-736B710A8DD4}" cache="Slicer_Product" caption="Product" columnCount="8" style="SlicerStyleLight2" rowHeight="257175"/>
  <slicer name="Category 1" xr10:uid="{2A037833-2086-41EA-BF83-64CBC94B9369}" cache="Slicer_Category" caption="Category" style="SlicerStyleLight2" rowHeight="257175"/>
  <slicer name="Region 1" xr10:uid="{7AECAE46-A85F-4B68-8B06-63D1AF2DC559}" cache="Slicer_Region" caption="Region" columnCount="2" style="SlicerStyleLight2" rowHeight="257175"/>
  <slicer name="Months (Date) 1" xr10:uid="{3A077C0D-C130-4FBA-A707-EC75BC15A2F8}" cache="Slicer_Months__Date" caption="Months (Date)" columnCount="6" style="SlicerStyleLight2"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5DC9D30-4997-40C9-9D0A-E297B1DA190D}" name="Table1" displayName="Table1" ref="A1:I651" totalsRowShown="0">
  <autoFilter ref="A1:I651" xr:uid="{25DC9D30-4997-40C9-9D0A-E297B1DA190D}"/>
  <tableColumns count="9">
    <tableColumn id="1" xr3:uid="{86702F66-6596-4F46-8623-31EE4A198042}" name="Order_ID"/>
    <tableColumn id="2" xr3:uid="{108A48C6-2A0F-475D-8010-BAD512DF40A8}" name="Date" dataDxfId="1" totalsRowDxfId="0"/>
    <tableColumn id="3" xr3:uid="{BE3A6EB7-2EB4-4101-915F-75AD26FF2EDA}" name="Customer"/>
    <tableColumn id="4" xr3:uid="{FC196D29-5C8C-45B4-8FEE-86865E9203AF}" name="Product"/>
    <tableColumn id="5" xr3:uid="{3052FE9A-7EB2-4439-9071-2546F87DE349}" name="Category"/>
    <tableColumn id="6" xr3:uid="{04EC9450-2EF7-4C27-908E-B6FCF8F089BD}" name="Qty"/>
    <tableColumn id="7" xr3:uid="{48C5D57D-CB6B-402C-92D8-1E2F4EE64797}" name="Unit_Price"/>
    <tableColumn id="8" xr3:uid="{D2D2765C-B45E-4B2D-933A-3FFEB8CA2187}" name="Region"/>
    <tableColumn id="9" xr3:uid="{A8237877-E70E-4AE6-BA1F-A7C5C2FAF086}" name="Sales_Amount">
      <calculatedColumnFormula>Table1[[#This Row],[Qty]]*Table1[[#This Row],[Unit_Price]]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573840-BF17-4EB6-8508-027D4506CE2B}">
  <dimension ref="A1:I651"/>
  <sheetViews>
    <sheetView workbookViewId="0">
      <selection activeCell="M648" sqref="M648"/>
    </sheetView>
  </sheetViews>
  <sheetFormatPr defaultRowHeight="15" x14ac:dyDescent="0.25"/>
  <cols>
    <col min="1" max="1" width="11.28515625" bestFit="1" customWidth="1"/>
    <col min="2" max="2" width="10.42578125" bestFit="1" customWidth="1"/>
    <col min="3" max="3" width="12.28515625" bestFit="1" customWidth="1"/>
    <col min="4" max="4" width="12.140625" bestFit="1" customWidth="1"/>
    <col min="5" max="5" width="11.42578125" bestFit="1" customWidth="1"/>
    <col min="6" max="6" width="6.42578125" bestFit="1" customWidth="1"/>
    <col min="7" max="7" width="12.42578125" bestFit="1" customWidth="1"/>
    <col min="8" max="8" width="9.5703125" bestFit="1" customWidth="1"/>
    <col min="9" max="9" width="16.140625" bestFit="1" customWidth="1"/>
  </cols>
  <sheetData>
    <row r="1" spans="1:9" x14ac:dyDescent="0.25">
      <c r="A1" t="s">
        <v>0</v>
      </c>
      <c r="B1" t="s">
        <v>1</v>
      </c>
      <c r="C1" t="s">
        <v>2</v>
      </c>
      <c r="D1" t="s">
        <v>3</v>
      </c>
      <c r="E1" t="s">
        <v>4</v>
      </c>
      <c r="F1" t="s">
        <v>5</v>
      </c>
      <c r="G1" t="s">
        <v>6</v>
      </c>
      <c r="H1" t="s">
        <v>7</v>
      </c>
      <c r="I1" t="s">
        <v>8</v>
      </c>
    </row>
    <row r="2" spans="1:9" x14ac:dyDescent="0.25">
      <c r="A2">
        <v>10001</v>
      </c>
      <c r="B2" s="1">
        <v>45985</v>
      </c>
      <c r="C2" t="s">
        <v>9</v>
      </c>
      <c r="D2" t="s">
        <v>10</v>
      </c>
      <c r="E2" t="s">
        <v>11</v>
      </c>
      <c r="F2">
        <v>2</v>
      </c>
      <c r="G2">
        <v>524.16</v>
      </c>
      <c r="H2" t="s">
        <v>12</v>
      </c>
      <c r="I2">
        <f>Table1[[#This Row],[Qty]]*Table1[[#This Row],[Unit_Price]]</f>
        <v>1048.32</v>
      </c>
    </row>
    <row r="3" spans="1:9" x14ac:dyDescent="0.25">
      <c r="A3">
        <v>10002</v>
      </c>
      <c r="B3" s="1">
        <v>45729</v>
      </c>
      <c r="C3" t="s">
        <v>13</v>
      </c>
      <c r="D3" t="s">
        <v>10</v>
      </c>
      <c r="E3" t="s">
        <v>11</v>
      </c>
      <c r="F3">
        <v>5</v>
      </c>
      <c r="G3">
        <v>458.69</v>
      </c>
      <c r="H3" t="s">
        <v>14</v>
      </c>
      <c r="I3">
        <f>Table1[[#This Row],[Qty]]*Table1[[#This Row],[Unit_Price]]</f>
        <v>2293.4499999999998</v>
      </c>
    </row>
    <row r="4" spans="1:9" x14ac:dyDescent="0.25">
      <c r="A4">
        <v>10003</v>
      </c>
      <c r="B4" s="1">
        <v>45673</v>
      </c>
      <c r="C4" t="s">
        <v>15</v>
      </c>
      <c r="D4" t="s">
        <v>10</v>
      </c>
      <c r="E4" t="s">
        <v>11</v>
      </c>
      <c r="F4">
        <v>2</v>
      </c>
      <c r="G4">
        <v>473.27</v>
      </c>
      <c r="H4" t="s">
        <v>14</v>
      </c>
      <c r="I4">
        <f>Table1[[#This Row],[Qty]]*Table1[[#This Row],[Unit_Price]]</f>
        <v>946.54</v>
      </c>
    </row>
    <row r="5" spans="1:9" x14ac:dyDescent="0.25">
      <c r="A5">
        <v>10004</v>
      </c>
      <c r="B5" s="1">
        <v>45945</v>
      </c>
      <c r="C5" t="s">
        <v>16</v>
      </c>
      <c r="D5" t="s">
        <v>17</v>
      </c>
      <c r="E5" t="s">
        <v>11</v>
      </c>
      <c r="F5">
        <v>5</v>
      </c>
      <c r="G5">
        <v>11806.85</v>
      </c>
      <c r="H5" t="s">
        <v>18</v>
      </c>
      <c r="I5">
        <f>Table1[[#This Row],[Qty]]*Table1[[#This Row],[Unit_Price]]</f>
        <v>59034.25</v>
      </c>
    </row>
    <row r="6" spans="1:9" x14ac:dyDescent="0.25">
      <c r="A6">
        <v>10005</v>
      </c>
      <c r="B6" s="1">
        <v>45661</v>
      </c>
      <c r="C6" t="s">
        <v>19</v>
      </c>
      <c r="D6" t="s">
        <v>20</v>
      </c>
      <c r="E6" t="s">
        <v>11</v>
      </c>
      <c r="F6">
        <v>4</v>
      </c>
      <c r="G6">
        <v>1452.08</v>
      </c>
      <c r="H6" t="s">
        <v>12</v>
      </c>
      <c r="I6">
        <f>Table1[[#This Row],[Qty]]*Table1[[#This Row],[Unit_Price]]</f>
        <v>5808.32</v>
      </c>
    </row>
    <row r="7" spans="1:9" x14ac:dyDescent="0.25">
      <c r="A7">
        <v>10006</v>
      </c>
      <c r="B7" s="1">
        <v>45830</v>
      </c>
      <c r="C7" t="s">
        <v>21</v>
      </c>
      <c r="D7" t="s">
        <v>10</v>
      </c>
      <c r="E7" t="s">
        <v>11</v>
      </c>
      <c r="F7">
        <v>1</v>
      </c>
      <c r="G7">
        <v>487.99</v>
      </c>
      <c r="H7" t="s">
        <v>18</v>
      </c>
      <c r="I7">
        <f>Table1[[#This Row],[Qty]]*Table1[[#This Row],[Unit_Price]]</f>
        <v>487.99</v>
      </c>
    </row>
    <row r="8" spans="1:9" x14ac:dyDescent="0.25">
      <c r="A8">
        <v>10007</v>
      </c>
      <c r="B8" s="1">
        <v>45967</v>
      </c>
      <c r="C8" t="s">
        <v>22</v>
      </c>
      <c r="D8" t="s">
        <v>23</v>
      </c>
      <c r="E8" t="s">
        <v>24</v>
      </c>
      <c r="F8">
        <v>1</v>
      </c>
      <c r="G8">
        <v>7321.62</v>
      </c>
      <c r="H8" t="s">
        <v>14</v>
      </c>
      <c r="I8">
        <f>Table1[[#This Row],[Qty]]*Table1[[#This Row],[Unit_Price]]</f>
        <v>7321.62</v>
      </c>
    </row>
    <row r="9" spans="1:9" x14ac:dyDescent="0.25">
      <c r="A9">
        <v>10008</v>
      </c>
      <c r="B9" s="1">
        <v>45851</v>
      </c>
      <c r="C9" t="s">
        <v>25</v>
      </c>
      <c r="D9" t="s">
        <v>10</v>
      </c>
      <c r="E9" t="s">
        <v>11</v>
      </c>
      <c r="F9">
        <v>5</v>
      </c>
      <c r="G9">
        <v>479.32</v>
      </c>
      <c r="H9" t="s">
        <v>18</v>
      </c>
      <c r="I9">
        <f>Table1[[#This Row],[Qty]]*Table1[[#This Row],[Unit_Price]]</f>
        <v>2396.6</v>
      </c>
    </row>
    <row r="10" spans="1:9" x14ac:dyDescent="0.25">
      <c r="A10">
        <v>10009</v>
      </c>
      <c r="B10" s="1">
        <v>45953</v>
      </c>
      <c r="C10" t="s">
        <v>9</v>
      </c>
      <c r="D10" t="s">
        <v>17</v>
      </c>
      <c r="E10" t="s">
        <v>11</v>
      </c>
      <c r="F10">
        <v>1</v>
      </c>
      <c r="G10">
        <v>10909.98</v>
      </c>
      <c r="H10" t="s">
        <v>18</v>
      </c>
      <c r="I10">
        <f>Table1[[#This Row],[Qty]]*Table1[[#This Row],[Unit_Price]]</f>
        <v>10909.98</v>
      </c>
    </row>
    <row r="11" spans="1:9" x14ac:dyDescent="0.25">
      <c r="A11">
        <v>10010</v>
      </c>
      <c r="B11" s="1">
        <v>45698</v>
      </c>
      <c r="C11" t="s">
        <v>16</v>
      </c>
      <c r="D11" t="s">
        <v>17</v>
      </c>
      <c r="E11" t="s">
        <v>11</v>
      </c>
      <c r="F11">
        <v>1</v>
      </c>
      <c r="G11">
        <v>11712.3</v>
      </c>
      <c r="H11" t="s">
        <v>18</v>
      </c>
      <c r="I11">
        <f>Table1[[#This Row],[Qty]]*Table1[[#This Row],[Unit_Price]]</f>
        <v>11712.3</v>
      </c>
    </row>
    <row r="12" spans="1:9" x14ac:dyDescent="0.25">
      <c r="A12">
        <v>10011</v>
      </c>
      <c r="B12" s="1">
        <v>45741</v>
      </c>
      <c r="C12" t="s">
        <v>26</v>
      </c>
      <c r="D12" t="s">
        <v>27</v>
      </c>
      <c r="E12" t="s">
        <v>24</v>
      </c>
      <c r="F12">
        <v>3</v>
      </c>
      <c r="G12">
        <v>11302.82</v>
      </c>
      <c r="H12" t="s">
        <v>14</v>
      </c>
      <c r="I12">
        <f>Table1[[#This Row],[Qty]]*Table1[[#This Row],[Unit_Price]]</f>
        <v>33908.46</v>
      </c>
    </row>
    <row r="13" spans="1:9" x14ac:dyDescent="0.25">
      <c r="A13">
        <v>10012</v>
      </c>
      <c r="B13" s="1">
        <v>45969</v>
      </c>
      <c r="C13" t="s">
        <v>19</v>
      </c>
      <c r="D13" t="s">
        <v>20</v>
      </c>
      <c r="E13" t="s">
        <v>11</v>
      </c>
      <c r="F13">
        <v>5</v>
      </c>
      <c r="G13">
        <v>1568.74</v>
      </c>
      <c r="H13" t="s">
        <v>28</v>
      </c>
      <c r="I13">
        <f>Table1[[#This Row],[Qty]]*Table1[[#This Row],[Unit_Price]]</f>
        <v>7843.7</v>
      </c>
    </row>
    <row r="14" spans="1:9" x14ac:dyDescent="0.25">
      <c r="A14">
        <v>10013</v>
      </c>
      <c r="B14" s="1">
        <v>45852</v>
      </c>
      <c r="C14" t="s">
        <v>21</v>
      </c>
      <c r="D14" t="s">
        <v>23</v>
      </c>
      <c r="E14" t="s">
        <v>24</v>
      </c>
      <c r="F14">
        <v>5</v>
      </c>
      <c r="G14">
        <v>6607.46</v>
      </c>
      <c r="H14" t="s">
        <v>14</v>
      </c>
      <c r="I14">
        <f>Table1[[#This Row],[Qty]]*Table1[[#This Row],[Unit_Price]]</f>
        <v>33037.300000000003</v>
      </c>
    </row>
    <row r="15" spans="1:9" x14ac:dyDescent="0.25">
      <c r="A15">
        <v>10014</v>
      </c>
      <c r="B15" s="1">
        <v>45775</v>
      </c>
      <c r="C15" t="s">
        <v>29</v>
      </c>
      <c r="D15" t="s">
        <v>30</v>
      </c>
      <c r="E15" t="s">
        <v>11</v>
      </c>
      <c r="F15">
        <v>3</v>
      </c>
      <c r="G15">
        <v>49011.65</v>
      </c>
      <c r="H15" t="s">
        <v>12</v>
      </c>
      <c r="I15">
        <f>Table1[[#This Row],[Qty]]*Table1[[#This Row],[Unit_Price]]</f>
        <v>147034.95000000001</v>
      </c>
    </row>
    <row r="16" spans="1:9" x14ac:dyDescent="0.25">
      <c r="A16">
        <v>10015</v>
      </c>
      <c r="B16" s="1">
        <v>45948</v>
      </c>
      <c r="C16" t="s">
        <v>13</v>
      </c>
      <c r="D16" t="s">
        <v>27</v>
      </c>
      <c r="E16" t="s">
        <v>24</v>
      </c>
      <c r="F16">
        <v>2</v>
      </c>
      <c r="G16">
        <v>12373.05</v>
      </c>
      <c r="H16" t="s">
        <v>28</v>
      </c>
      <c r="I16">
        <f>Table1[[#This Row],[Qty]]*Table1[[#This Row],[Unit_Price]]</f>
        <v>24746.1</v>
      </c>
    </row>
    <row r="17" spans="1:9" x14ac:dyDescent="0.25">
      <c r="A17">
        <v>10016</v>
      </c>
      <c r="B17" s="1">
        <v>45731</v>
      </c>
      <c r="C17" t="s">
        <v>22</v>
      </c>
      <c r="D17" t="s">
        <v>23</v>
      </c>
      <c r="E17" t="s">
        <v>24</v>
      </c>
      <c r="F17">
        <v>2</v>
      </c>
      <c r="G17">
        <v>6645.28</v>
      </c>
      <c r="H17" t="s">
        <v>18</v>
      </c>
      <c r="I17">
        <f>Table1[[#This Row],[Qty]]*Table1[[#This Row],[Unit_Price]]</f>
        <v>13290.56</v>
      </c>
    </row>
    <row r="18" spans="1:9" x14ac:dyDescent="0.25">
      <c r="A18">
        <v>10017</v>
      </c>
      <c r="B18" s="1">
        <v>45957</v>
      </c>
      <c r="C18" t="s">
        <v>9</v>
      </c>
      <c r="D18" t="s">
        <v>31</v>
      </c>
      <c r="E18" t="s">
        <v>11</v>
      </c>
      <c r="F18">
        <v>5</v>
      </c>
      <c r="G18">
        <v>8818.92</v>
      </c>
      <c r="H18" t="s">
        <v>12</v>
      </c>
      <c r="I18">
        <f>Table1[[#This Row],[Qty]]*Table1[[#This Row],[Unit_Price]]</f>
        <v>44094.6</v>
      </c>
    </row>
    <row r="19" spans="1:9" x14ac:dyDescent="0.25">
      <c r="A19">
        <v>10018</v>
      </c>
      <c r="B19" s="1">
        <v>45918</v>
      </c>
      <c r="C19" t="s">
        <v>29</v>
      </c>
      <c r="D19" t="s">
        <v>32</v>
      </c>
      <c r="E19" t="s">
        <v>11</v>
      </c>
      <c r="F19">
        <v>1</v>
      </c>
      <c r="G19">
        <v>2627.89</v>
      </c>
      <c r="H19" t="s">
        <v>12</v>
      </c>
      <c r="I19">
        <f>Table1[[#This Row],[Qty]]*Table1[[#This Row],[Unit_Price]]</f>
        <v>2627.89</v>
      </c>
    </row>
    <row r="20" spans="1:9" x14ac:dyDescent="0.25">
      <c r="A20">
        <v>10019</v>
      </c>
      <c r="B20" s="1">
        <v>45979</v>
      </c>
      <c r="C20" t="s">
        <v>13</v>
      </c>
      <c r="D20" t="s">
        <v>20</v>
      </c>
      <c r="E20" t="s">
        <v>11</v>
      </c>
      <c r="F20">
        <v>4</v>
      </c>
      <c r="G20">
        <v>1528.92</v>
      </c>
      <c r="H20" t="s">
        <v>28</v>
      </c>
      <c r="I20">
        <f>Table1[[#This Row],[Qty]]*Table1[[#This Row],[Unit_Price]]</f>
        <v>6115.68</v>
      </c>
    </row>
    <row r="21" spans="1:9" x14ac:dyDescent="0.25">
      <c r="A21">
        <v>10020</v>
      </c>
      <c r="B21" s="1">
        <v>45963</v>
      </c>
      <c r="C21" t="s">
        <v>22</v>
      </c>
      <c r="D21" t="s">
        <v>32</v>
      </c>
      <c r="E21" t="s">
        <v>11</v>
      </c>
      <c r="F21">
        <v>5</v>
      </c>
      <c r="G21">
        <v>2375.71</v>
      </c>
      <c r="H21" t="s">
        <v>14</v>
      </c>
      <c r="I21">
        <f>Table1[[#This Row],[Qty]]*Table1[[#This Row],[Unit_Price]]</f>
        <v>11878.55</v>
      </c>
    </row>
    <row r="22" spans="1:9" x14ac:dyDescent="0.25">
      <c r="A22">
        <v>10021</v>
      </c>
      <c r="B22" s="1">
        <v>46006</v>
      </c>
      <c r="C22" t="s">
        <v>25</v>
      </c>
      <c r="D22" t="s">
        <v>10</v>
      </c>
      <c r="E22" t="s">
        <v>11</v>
      </c>
      <c r="F22">
        <v>5</v>
      </c>
      <c r="G22">
        <v>525.09</v>
      </c>
      <c r="H22" t="s">
        <v>18</v>
      </c>
      <c r="I22">
        <f>Table1[[#This Row],[Qty]]*Table1[[#This Row],[Unit_Price]]</f>
        <v>2625.4500000000003</v>
      </c>
    </row>
    <row r="23" spans="1:9" x14ac:dyDescent="0.25">
      <c r="A23">
        <v>10022</v>
      </c>
      <c r="B23" s="1">
        <v>45715</v>
      </c>
      <c r="C23" t="s">
        <v>33</v>
      </c>
      <c r="D23" t="s">
        <v>23</v>
      </c>
      <c r="E23" t="s">
        <v>24</v>
      </c>
      <c r="F23">
        <v>4</v>
      </c>
      <c r="G23">
        <v>6521.42</v>
      </c>
      <c r="H23" t="s">
        <v>18</v>
      </c>
      <c r="I23">
        <f>Table1[[#This Row],[Qty]]*Table1[[#This Row],[Unit_Price]]</f>
        <v>26085.68</v>
      </c>
    </row>
    <row r="24" spans="1:9" x14ac:dyDescent="0.25">
      <c r="A24">
        <v>10023</v>
      </c>
      <c r="B24" s="1">
        <v>45914</v>
      </c>
      <c r="C24" t="s">
        <v>25</v>
      </c>
      <c r="D24" t="s">
        <v>20</v>
      </c>
      <c r="E24" t="s">
        <v>11</v>
      </c>
      <c r="F24">
        <v>5</v>
      </c>
      <c r="G24">
        <v>1623.79</v>
      </c>
      <c r="H24" t="s">
        <v>18</v>
      </c>
      <c r="I24">
        <f>Table1[[#This Row],[Qty]]*Table1[[#This Row],[Unit_Price]]</f>
        <v>8118.95</v>
      </c>
    </row>
    <row r="25" spans="1:9" x14ac:dyDescent="0.25">
      <c r="A25">
        <v>10024</v>
      </c>
      <c r="B25" s="1">
        <v>45985</v>
      </c>
      <c r="C25" t="s">
        <v>19</v>
      </c>
      <c r="D25" t="s">
        <v>17</v>
      </c>
      <c r="E25" t="s">
        <v>11</v>
      </c>
      <c r="F25">
        <v>2</v>
      </c>
      <c r="G25">
        <v>11697.39</v>
      </c>
      <c r="H25" t="s">
        <v>14</v>
      </c>
      <c r="I25">
        <f>Table1[[#This Row],[Qty]]*Table1[[#This Row],[Unit_Price]]</f>
        <v>23394.78</v>
      </c>
    </row>
    <row r="26" spans="1:9" x14ac:dyDescent="0.25">
      <c r="A26">
        <v>10025</v>
      </c>
      <c r="B26" s="1">
        <v>45964</v>
      </c>
      <c r="C26" t="s">
        <v>21</v>
      </c>
      <c r="D26" t="s">
        <v>27</v>
      </c>
      <c r="E26" t="s">
        <v>24</v>
      </c>
      <c r="F26">
        <v>4</v>
      </c>
      <c r="G26">
        <v>10846.74</v>
      </c>
      <c r="H26" t="s">
        <v>18</v>
      </c>
      <c r="I26">
        <f>Table1[[#This Row],[Qty]]*Table1[[#This Row],[Unit_Price]]</f>
        <v>43386.96</v>
      </c>
    </row>
    <row r="27" spans="1:9" x14ac:dyDescent="0.25">
      <c r="A27">
        <v>10026</v>
      </c>
      <c r="B27" s="1">
        <v>45780</v>
      </c>
      <c r="C27" t="s">
        <v>29</v>
      </c>
      <c r="D27" t="s">
        <v>30</v>
      </c>
      <c r="E27" t="s">
        <v>11</v>
      </c>
      <c r="F27">
        <v>2</v>
      </c>
      <c r="G27">
        <v>53780.1</v>
      </c>
      <c r="H27" t="s">
        <v>14</v>
      </c>
      <c r="I27">
        <f>Table1[[#This Row],[Qty]]*Table1[[#This Row],[Unit_Price]]</f>
        <v>107560.2</v>
      </c>
    </row>
    <row r="28" spans="1:9" x14ac:dyDescent="0.25">
      <c r="A28">
        <v>10027</v>
      </c>
      <c r="B28" s="1">
        <v>45906</v>
      </c>
      <c r="C28" t="s">
        <v>19</v>
      </c>
      <c r="D28" t="s">
        <v>10</v>
      </c>
      <c r="E28" t="s">
        <v>11</v>
      </c>
      <c r="F28">
        <v>5</v>
      </c>
      <c r="G28">
        <v>526.58000000000004</v>
      </c>
      <c r="H28" t="s">
        <v>28</v>
      </c>
      <c r="I28">
        <f>Table1[[#This Row],[Qty]]*Table1[[#This Row],[Unit_Price]]</f>
        <v>2632.9</v>
      </c>
    </row>
    <row r="29" spans="1:9" x14ac:dyDescent="0.25">
      <c r="A29">
        <v>10028</v>
      </c>
      <c r="B29" s="1">
        <v>45939</v>
      </c>
      <c r="C29" t="s">
        <v>15</v>
      </c>
      <c r="D29" t="s">
        <v>20</v>
      </c>
      <c r="E29" t="s">
        <v>11</v>
      </c>
      <c r="F29">
        <v>3</v>
      </c>
      <c r="G29">
        <v>1508.3</v>
      </c>
      <c r="H29" t="s">
        <v>28</v>
      </c>
      <c r="I29">
        <f>Table1[[#This Row],[Qty]]*Table1[[#This Row],[Unit_Price]]</f>
        <v>4524.8999999999996</v>
      </c>
    </row>
    <row r="30" spans="1:9" x14ac:dyDescent="0.25">
      <c r="A30">
        <v>10029</v>
      </c>
      <c r="B30" s="1">
        <v>45766</v>
      </c>
      <c r="C30" t="s">
        <v>25</v>
      </c>
      <c r="D30" t="s">
        <v>17</v>
      </c>
      <c r="E30" t="s">
        <v>11</v>
      </c>
      <c r="F30">
        <v>3</v>
      </c>
      <c r="G30">
        <v>11757.58</v>
      </c>
      <c r="H30" t="s">
        <v>18</v>
      </c>
      <c r="I30">
        <f>Table1[[#This Row],[Qty]]*Table1[[#This Row],[Unit_Price]]</f>
        <v>35272.74</v>
      </c>
    </row>
    <row r="31" spans="1:9" x14ac:dyDescent="0.25">
      <c r="A31">
        <v>10030</v>
      </c>
      <c r="B31" s="1">
        <v>45882</v>
      </c>
      <c r="C31" t="s">
        <v>29</v>
      </c>
      <c r="D31" t="s">
        <v>32</v>
      </c>
      <c r="E31" t="s">
        <v>11</v>
      </c>
      <c r="F31">
        <v>1</v>
      </c>
      <c r="G31">
        <v>2373.9499999999998</v>
      </c>
      <c r="H31" t="s">
        <v>18</v>
      </c>
      <c r="I31">
        <f>Table1[[#This Row],[Qty]]*Table1[[#This Row],[Unit_Price]]</f>
        <v>2373.9499999999998</v>
      </c>
    </row>
    <row r="32" spans="1:9" x14ac:dyDescent="0.25">
      <c r="A32">
        <v>10031</v>
      </c>
      <c r="B32" s="1">
        <v>45668</v>
      </c>
      <c r="C32" t="s">
        <v>29</v>
      </c>
      <c r="D32" t="s">
        <v>17</v>
      </c>
      <c r="E32" t="s">
        <v>11</v>
      </c>
      <c r="F32">
        <v>5</v>
      </c>
      <c r="G32">
        <v>11328.52</v>
      </c>
      <c r="H32" t="s">
        <v>14</v>
      </c>
      <c r="I32">
        <f>Table1[[#This Row],[Qty]]*Table1[[#This Row],[Unit_Price]]</f>
        <v>56642.600000000006</v>
      </c>
    </row>
    <row r="33" spans="1:9" x14ac:dyDescent="0.25">
      <c r="A33">
        <v>10032</v>
      </c>
      <c r="B33" s="1">
        <v>45775</v>
      </c>
      <c r="C33" t="s">
        <v>29</v>
      </c>
      <c r="D33" t="s">
        <v>10</v>
      </c>
      <c r="E33" t="s">
        <v>11</v>
      </c>
      <c r="F33">
        <v>1</v>
      </c>
      <c r="G33">
        <v>535.96</v>
      </c>
      <c r="H33" t="s">
        <v>12</v>
      </c>
      <c r="I33">
        <f>Table1[[#This Row],[Qty]]*Table1[[#This Row],[Unit_Price]]</f>
        <v>535.96</v>
      </c>
    </row>
    <row r="34" spans="1:9" x14ac:dyDescent="0.25">
      <c r="A34">
        <v>10033</v>
      </c>
      <c r="B34" s="1">
        <v>45800</v>
      </c>
      <c r="C34" t="s">
        <v>34</v>
      </c>
      <c r="D34" t="s">
        <v>32</v>
      </c>
      <c r="E34" t="s">
        <v>11</v>
      </c>
      <c r="F34">
        <v>2</v>
      </c>
      <c r="G34">
        <v>2519.62</v>
      </c>
      <c r="H34" t="s">
        <v>28</v>
      </c>
      <c r="I34">
        <f>Table1[[#This Row],[Qty]]*Table1[[#This Row],[Unit_Price]]</f>
        <v>5039.24</v>
      </c>
    </row>
    <row r="35" spans="1:9" x14ac:dyDescent="0.25">
      <c r="A35">
        <v>10034</v>
      </c>
      <c r="B35" s="1">
        <v>45782</v>
      </c>
      <c r="C35" t="s">
        <v>29</v>
      </c>
      <c r="D35" t="s">
        <v>32</v>
      </c>
      <c r="E35" t="s">
        <v>11</v>
      </c>
      <c r="F35">
        <v>4</v>
      </c>
      <c r="G35">
        <v>2345.1999999999998</v>
      </c>
      <c r="H35" t="s">
        <v>28</v>
      </c>
      <c r="I35">
        <f>Table1[[#This Row],[Qty]]*Table1[[#This Row],[Unit_Price]]</f>
        <v>9380.7999999999993</v>
      </c>
    </row>
    <row r="36" spans="1:9" x14ac:dyDescent="0.25">
      <c r="A36">
        <v>10035</v>
      </c>
      <c r="B36" s="1">
        <v>45839</v>
      </c>
      <c r="C36" t="s">
        <v>34</v>
      </c>
      <c r="D36" t="s">
        <v>31</v>
      </c>
      <c r="E36" t="s">
        <v>11</v>
      </c>
      <c r="F36">
        <v>4</v>
      </c>
      <c r="G36">
        <v>8940.64</v>
      </c>
      <c r="H36" t="s">
        <v>14</v>
      </c>
      <c r="I36">
        <f>Table1[[#This Row],[Qty]]*Table1[[#This Row],[Unit_Price]]</f>
        <v>35762.559999999998</v>
      </c>
    </row>
    <row r="37" spans="1:9" x14ac:dyDescent="0.25">
      <c r="A37">
        <v>10036</v>
      </c>
      <c r="B37" s="1">
        <v>46002</v>
      </c>
      <c r="C37" t="s">
        <v>21</v>
      </c>
      <c r="D37" t="s">
        <v>10</v>
      </c>
      <c r="E37" t="s">
        <v>11</v>
      </c>
      <c r="F37">
        <v>1</v>
      </c>
      <c r="G37">
        <v>490.26</v>
      </c>
      <c r="H37" t="s">
        <v>14</v>
      </c>
      <c r="I37">
        <f>Table1[[#This Row],[Qty]]*Table1[[#This Row],[Unit_Price]]</f>
        <v>490.26</v>
      </c>
    </row>
    <row r="38" spans="1:9" x14ac:dyDescent="0.25">
      <c r="A38">
        <v>10037</v>
      </c>
      <c r="B38" s="1">
        <v>45785</v>
      </c>
      <c r="C38" t="s">
        <v>19</v>
      </c>
      <c r="D38" t="s">
        <v>17</v>
      </c>
      <c r="E38" t="s">
        <v>11</v>
      </c>
      <c r="F38">
        <v>2</v>
      </c>
      <c r="G38">
        <v>12087.09</v>
      </c>
      <c r="H38" t="s">
        <v>28</v>
      </c>
      <c r="I38">
        <f>Table1[[#This Row],[Qty]]*Table1[[#This Row],[Unit_Price]]</f>
        <v>24174.18</v>
      </c>
    </row>
    <row r="39" spans="1:9" x14ac:dyDescent="0.25">
      <c r="A39">
        <v>10038</v>
      </c>
      <c r="B39" s="1">
        <v>45751</v>
      </c>
      <c r="C39" t="s">
        <v>29</v>
      </c>
      <c r="D39" t="s">
        <v>23</v>
      </c>
      <c r="E39" t="s">
        <v>24</v>
      </c>
      <c r="F39">
        <v>4</v>
      </c>
      <c r="G39">
        <v>6649.73</v>
      </c>
      <c r="H39" t="s">
        <v>28</v>
      </c>
      <c r="I39">
        <f>Table1[[#This Row],[Qty]]*Table1[[#This Row],[Unit_Price]]</f>
        <v>26598.92</v>
      </c>
    </row>
    <row r="40" spans="1:9" x14ac:dyDescent="0.25">
      <c r="A40">
        <v>10039</v>
      </c>
      <c r="B40" s="1">
        <v>45939</v>
      </c>
      <c r="C40" t="s">
        <v>22</v>
      </c>
      <c r="D40" t="s">
        <v>10</v>
      </c>
      <c r="E40" t="s">
        <v>11</v>
      </c>
      <c r="F40">
        <v>1</v>
      </c>
      <c r="G40">
        <v>515.21</v>
      </c>
      <c r="H40" t="s">
        <v>14</v>
      </c>
      <c r="I40">
        <f>Table1[[#This Row],[Qty]]*Table1[[#This Row],[Unit_Price]]</f>
        <v>515.21</v>
      </c>
    </row>
    <row r="41" spans="1:9" x14ac:dyDescent="0.25">
      <c r="A41">
        <v>10040</v>
      </c>
      <c r="B41" s="1">
        <v>45705</v>
      </c>
      <c r="C41" t="s">
        <v>16</v>
      </c>
      <c r="D41" t="s">
        <v>17</v>
      </c>
      <c r="E41" t="s">
        <v>11</v>
      </c>
      <c r="F41">
        <v>2</v>
      </c>
      <c r="G41">
        <v>11775.39</v>
      </c>
      <c r="H41" t="s">
        <v>12</v>
      </c>
      <c r="I41">
        <f>Table1[[#This Row],[Qty]]*Table1[[#This Row],[Unit_Price]]</f>
        <v>23550.78</v>
      </c>
    </row>
    <row r="42" spans="1:9" x14ac:dyDescent="0.25">
      <c r="A42">
        <v>10041</v>
      </c>
      <c r="B42" s="1">
        <v>45863</v>
      </c>
      <c r="C42" t="s">
        <v>13</v>
      </c>
      <c r="D42" t="s">
        <v>30</v>
      </c>
      <c r="E42" t="s">
        <v>11</v>
      </c>
      <c r="F42">
        <v>2</v>
      </c>
      <c r="G42">
        <v>48789.73</v>
      </c>
      <c r="H42" t="s">
        <v>18</v>
      </c>
      <c r="I42">
        <f>Table1[[#This Row],[Qty]]*Table1[[#This Row],[Unit_Price]]</f>
        <v>97579.46</v>
      </c>
    </row>
    <row r="43" spans="1:9" x14ac:dyDescent="0.25">
      <c r="A43">
        <v>10042</v>
      </c>
      <c r="B43" s="1">
        <v>45890</v>
      </c>
      <c r="C43" t="s">
        <v>34</v>
      </c>
      <c r="D43" t="s">
        <v>23</v>
      </c>
      <c r="E43" t="s">
        <v>24</v>
      </c>
      <c r="F43">
        <v>4</v>
      </c>
      <c r="G43">
        <v>7275.23</v>
      </c>
      <c r="H43" t="s">
        <v>28</v>
      </c>
      <c r="I43">
        <f>Table1[[#This Row],[Qty]]*Table1[[#This Row],[Unit_Price]]</f>
        <v>29100.92</v>
      </c>
    </row>
    <row r="44" spans="1:9" x14ac:dyDescent="0.25">
      <c r="A44">
        <v>10043</v>
      </c>
      <c r="B44" s="1">
        <v>45737</v>
      </c>
      <c r="C44" t="s">
        <v>33</v>
      </c>
      <c r="D44" t="s">
        <v>17</v>
      </c>
      <c r="E44" t="s">
        <v>11</v>
      </c>
      <c r="F44">
        <v>3</v>
      </c>
      <c r="G44">
        <v>11322.48</v>
      </c>
      <c r="H44" t="s">
        <v>14</v>
      </c>
      <c r="I44">
        <f>Table1[[#This Row],[Qty]]*Table1[[#This Row],[Unit_Price]]</f>
        <v>33967.440000000002</v>
      </c>
    </row>
    <row r="45" spans="1:9" x14ac:dyDescent="0.25">
      <c r="A45">
        <v>10044</v>
      </c>
      <c r="B45" s="1">
        <v>45818</v>
      </c>
      <c r="C45" t="s">
        <v>22</v>
      </c>
      <c r="D45" t="s">
        <v>30</v>
      </c>
      <c r="E45" t="s">
        <v>11</v>
      </c>
      <c r="F45">
        <v>1</v>
      </c>
      <c r="G45">
        <v>50841.78</v>
      </c>
      <c r="H45" t="s">
        <v>12</v>
      </c>
      <c r="I45">
        <f>Table1[[#This Row],[Qty]]*Table1[[#This Row],[Unit_Price]]</f>
        <v>50841.78</v>
      </c>
    </row>
    <row r="46" spans="1:9" x14ac:dyDescent="0.25">
      <c r="A46">
        <v>10045</v>
      </c>
      <c r="B46" s="1">
        <v>45687</v>
      </c>
      <c r="C46" t="s">
        <v>29</v>
      </c>
      <c r="D46" t="s">
        <v>10</v>
      </c>
      <c r="E46" t="s">
        <v>11</v>
      </c>
      <c r="F46">
        <v>2</v>
      </c>
      <c r="G46">
        <v>456.85</v>
      </c>
      <c r="H46" t="s">
        <v>12</v>
      </c>
      <c r="I46">
        <f>Table1[[#This Row],[Qty]]*Table1[[#This Row],[Unit_Price]]</f>
        <v>913.7</v>
      </c>
    </row>
    <row r="47" spans="1:9" x14ac:dyDescent="0.25">
      <c r="A47">
        <v>10046</v>
      </c>
      <c r="B47" s="1">
        <v>45864</v>
      </c>
      <c r="C47" t="s">
        <v>15</v>
      </c>
      <c r="D47" t="s">
        <v>10</v>
      </c>
      <c r="E47" t="s">
        <v>11</v>
      </c>
      <c r="F47">
        <v>5</v>
      </c>
      <c r="G47">
        <v>474.62</v>
      </c>
      <c r="H47" t="s">
        <v>14</v>
      </c>
      <c r="I47">
        <f>Table1[[#This Row],[Qty]]*Table1[[#This Row],[Unit_Price]]</f>
        <v>2373.1</v>
      </c>
    </row>
    <row r="48" spans="1:9" x14ac:dyDescent="0.25">
      <c r="A48">
        <v>10047</v>
      </c>
      <c r="B48" s="1">
        <v>45975</v>
      </c>
      <c r="C48" t="s">
        <v>15</v>
      </c>
      <c r="D48" t="s">
        <v>10</v>
      </c>
      <c r="E48" t="s">
        <v>11</v>
      </c>
      <c r="F48">
        <v>4</v>
      </c>
      <c r="G48">
        <v>515.74</v>
      </c>
      <c r="H48" t="s">
        <v>18</v>
      </c>
      <c r="I48">
        <f>Table1[[#This Row],[Qty]]*Table1[[#This Row],[Unit_Price]]</f>
        <v>2062.96</v>
      </c>
    </row>
    <row r="49" spans="1:9" x14ac:dyDescent="0.25">
      <c r="A49">
        <v>10048</v>
      </c>
      <c r="B49" s="1">
        <v>45791</v>
      </c>
      <c r="C49" t="s">
        <v>13</v>
      </c>
      <c r="D49" t="s">
        <v>17</v>
      </c>
      <c r="E49" t="s">
        <v>11</v>
      </c>
      <c r="F49">
        <v>3</v>
      </c>
      <c r="G49">
        <v>11372.85</v>
      </c>
      <c r="H49" t="s">
        <v>12</v>
      </c>
      <c r="I49">
        <f>Table1[[#This Row],[Qty]]*Table1[[#This Row],[Unit_Price]]</f>
        <v>34118.550000000003</v>
      </c>
    </row>
    <row r="50" spans="1:9" x14ac:dyDescent="0.25">
      <c r="A50">
        <v>10049</v>
      </c>
      <c r="B50" s="1">
        <v>46001</v>
      </c>
      <c r="C50" t="s">
        <v>29</v>
      </c>
      <c r="D50" t="s">
        <v>23</v>
      </c>
      <c r="E50" t="s">
        <v>24</v>
      </c>
      <c r="F50">
        <v>4</v>
      </c>
      <c r="G50">
        <v>6742.65</v>
      </c>
      <c r="H50" t="s">
        <v>14</v>
      </c>
      <c r="I50">
        <f>Table1[[#This Row],[Qty]]*Table1[[#This Row],[Unit_Price]]</f>
        <v>26970.6</v>
      </c>
    </row>
    <row r="51" spans="1:9" x14ac:dyDescent="0.25">
      <c r="A51">
        <v>10050</v>
      </c>
      <c r="B51" s="1">
        <v>45892</v>
      </c>
      <c r="C51" t="s">
        <v>22</v>
      </c>
      <c r="D51" t="s">
        <v>10</v>
      </c>
      <c r="E51" t="s">
        <v>11</v>
      </c>
      <c r="F51">
        <v>1</v>
      </c>
      <c r="G51">
        <v>503.76</v>
      </c>
      <c r="H51" t="s">
        <v>18</v>
      </c>
      <c r="I51">
        <f>Table1[[#This Row],[Qty]]*Table1[[#This Row],[Unit_Price]]</f>
        <v>503.76</v>
      </c>
    </row>
    <row r="52" spans="1:9" x14ac:dyDescent="0.25">
      <c r="A52">
        <v>10051</v>
      </c>
      <c r="B52" s="1">
        <v>45725</v>
      </c>
      <c r="C52" t="s">
        <v>21</v>
      </c>
      <c r="D52" t="s">
        <v>27</v>
      </c>
      <c r="E52" t="s">
        <v>24</v>
      </c>
      <c r="F52">
        <v>1</v>
      </c>
      <c r="G52">
        <v>12910.25</v>
      </c>
      <c r="H52" t="s">
        <v>18</v>
      </c>
      <c r="I52">
        <f>Table1[[#This Row],[Qty]]*Table1[[#This Row],[Unit_Price]]</f>
        <v>12910.25</v>
      </c>
    </row>
    <row r="53" spans="1:9" x14ac:dyDescent="0.25">
      <c r="A53">
        <v>10052</v>
      </c>
      <c r="B53" s="1">
        <v>45738</v>
      </c>
      <c r="C53" t="s">
        <v>15</v>
      </c>
      <c r="D53" t="s">
        <v>32</v>
      </c>
      <c r="E53" t="s">
        <v>11</v>
      </c>
      <c r="F53">
        <v>5</v>
      </c>
      <c r="G53">
        <v>2601.77</v>
      </c>
      <c r="H53" t="s">
        <v>14</v>
      </c>
      <c r="I53">
        <f>Table1[[#This Row],[Qty]]*Table1[[#This Row],[Unit_Price]]</f>
        <v>13008.85</v>
      </c>
    </row>
    <row r="54" spans="1:9" x14ac:dyDescent="0.25">
      <c r="A54">
        <v>10053</v>
      </c>
      <c r="B54" s="1">
        <v>45999</v>
      </c>
      <c r="C54" t="s">
        <v>19</v>
      </c>
      <c r="D54" t="s">
        <v>23</v>
      </c>
      <c r="E54" t="s">
        <v>24</v>
      </c>
      <c r="F54">
        <v>1</v>
      </c>
      <c r="G54">
        <v>7614.5</v>
      </c>
      <c r="H54" t="s">
        <v>18</v>
      </c>
      <c r="I54">
        <f>Table1[[#This Row],[Qty]]*Table1[[#This Row],[Unit_Price]]</f>
        <v>7614.5</v>
      </c>
    </row>
    <row r="55" spans="1:9" x14ac:dyDescent="0.25">
      <c r="A55">
        <v>10054</v>
      </c>
      <c r="B55" s="1">
        <v>45717</v>
      </c>
      <c r="C55" t="s">
        <v>26</v>
      </c>
      <c r="D55" t="s">
        <v>10</v>
      </c>
      <c r="E55" t="s">
        <v>11</v>
      </c>
      <c r="F55">
        <v>5</v>
      </c>
      <c r="G55">
        <v>465.54</v>
      </c>
      <c r="H55" t="s">
        <v>12</v>
      </c>
      <c r="I55">
        <f>Table1[[#This Row],[Qty]]*Table1[[#This Row],[Unit_Price]]</f>
        <v>2327.7000000000003</v>
      </c>
    </row>
    <row r="56" spans="1:9" x14ac:dyDescent="0.25">
      <c r="A56">
        <v>10055</v>
      </c>
      <c r="B56" s="1">
        <v>45833</v>
      </c>
      <c r="C56" t="s">
        <v>26</v>
      </c>
      <c r="D56" t="s">
        <v>17</v>
      </c>
      <c r="E56" t="s">
        <v>11</v>
      </c>
      <c r="F56">
        <v>3</v>
      </c>
      <c r="G56">
        <v>12012.98</v>
      </c>
      <c r="H56" t="s">
        <v>14</v>
      </c>
      <c r="I56">
        <f>Table1[[#This Row],[Qty]]*Table1[[#This Row],[Unit_Price]]</f>
        <v>36038.94</v>
      </c>
    </row>
    <row r="57" spans="1:9" x14ac:dyDescent="0.25">
      <c r="A57">
        <v>10056</v>
      </c>
      <c r="B57" s="1">
        <v>45705</v>
      </c>
      <c r="C57" t="s">
        <v>21</v>
      </c>
      <c r="D57" t="s">
        <v>31</v>
      </c>
      <c r="E57" t="s">
        <v>11</v>
      </c>
      <c r="F57">
        <v>3</v>
      </c>
      <c r="G57">
        <v>8179.36</v>
      </c>
      <c r="H57" t="s">
        <v>12</v>
      </c>
      <c r="I57">
        <f>Table1[[#This Row],[Qty]]*Table1[[#This Row],[Unit_Price]]</f>
        <v>24538.079999999998</v>
      </c>
    </row>
    <row r="58" spans="1:9" x14ac:dyDescent="0.25">
      <c r="A58">
        <v>10057</v>
      </c>
      <c r="B58" s="1">
        <v>45984</v>
      </c>
      <c r="C58" t="s">
        <v>22</v>
      </c>
      <c r="D58" t="s">
        <v>23</v>
      </c>
      <c r="E58" t="s">
        <v>24</v>
      </c>
      <c r="F58">
        <v>2</v>
      </c>
      <c r="G58">
        <v>7337.72</v>
      </c>
      <c r="H58" t="s">
        <v>28</v>
      </c>
      <c r="I58">
        <f>Table1[[#This Row],[Qty]]*Table1[[#This Row],[Unit_Price]]</f>
        <v>14675.44</v>
      </c>
    </row>
    <row r="59" spans="1:9" x14ac:dyDescent="0.25">
      <c r="A59">
        <v>10058</v>
      </c>
      <c r="B59" s="1">
        <v>45945</v>
      </c>
      <c r="C59" t="s">
        <v>34</v>
      </c>
      <c r="D59" t="s">
        <v>30</v>
      </c>
      <c r="E59" t="s">
        <v>11</v>
      </c>
      <c r="F59">
        <v>1</v>
      </c>
      <c r="G59">
        <v>45752.44</v>
      </c>
      <c r="H59" t="s">
        <v>12</v>
      </c>
      <c r="I59">
        <f>Table1[[#This Row],[Qty]]*Table1[[#This Row],[Unit_Price]]</f>
        <v>45752.44</v>
      </c>
    </row>
    <row r="60" spans="1:9" x14ac:dyDescent="0.25">
      <c r="A60">
        <v>10059</v>
      </c>
      <c r="B60" s="1">
        <v>45937</v>
      </c>
      <c r="C60" t="s">
        <v>19</v>
      </c>
      <c r="D60" t="s">
        <v>30</v>
      </c>
      <c r="E60" t="s">
        <v>11</v>
      </c>
      <c r="F60">
        <v>3</v>
      </c>
      <c r="G60">
        <v>50825.1</v>
      </c>
      <c r="H60" t="s">
        <v>28</v>
      </c>
      <c r="I60">
        <f>Table1[[#This Row],[Qty]]*Table1[[#This Row],[Unit_Price]]</f>
        <v>152475.29999999999</v>
      </c>
    </row>
    <row r="61" spans="1:9" x14ac:dyDescent="0.25">
      <c r="A61">
        <v>10060</v>
      </c>
      <c r="B61" s="1">
        <v>45723</v>
      </c>
      <c r="C61" t="s">
        <v>33</v>
      </c>
      <c r="D61" t="s">
        <v>30</v>
      </c>
      <c r="E61" t="s">
        <v>11</v>
      </c>
      <c r="F61">
        <v>3</v>
      </c>
      <c r="G61">
        <v>48646.52</v>
      </c>
      <c r="H61" t="s">
        <v>18</v>
      </c>
      <c r="I61">
        <f>Table1[[#This Row],[Qty]]*Table1[[#This Row],[Unit_Price]]</f>
        <v>145939.56</v>
      </c>
    </row>
    <row r="62" spans="1:9" x14ac:dyDescent="0.25">
      <c r="A62">
        <v>10061</v>
      </c>
      <c r="B62" s="1">
        <v>45765</v>
      </c>
      <c r="C62" t="s">
        <v>22</v>
      </c>
      <c r="D62" t="s">
        <v>17</v>
      </c>
      <c r="E62" t="s">
        <v>11</v>
      </c>
      <c r="F62">
        <v>1</v>
      </c>
      <c r="G62">
        <v>11648.83</v>
      </c>
      <c r="H62" t="s">
        <v>28</v>
      </c>
      <c r="I62">
        <f>Table1[[#This Row],[Qty]]*Table1[[#This Row],[Unit_Price]]</f>
        <v>11648.83</v>
      </c>
    </row>
    <row r="63" spans="1:9" x14ac:dyDescent="0.25">
      <c r="A63">
        <v>10062</v>
      </c>
      <c r="B63" s="1">
        <v>45975</v>
      </c>
      <c r="C63" t="s">
        <v>19</v>
      </c>
      <c r="D63" t="s">
        <v>20</v>
      </c>
      <c r="E63" t="s">
        <v>11</v>
      </c>
      <c r="F63">
        <v>2</v>
      </c>
      <c r="G63">
        <v>1609.38</v>
      </c>
      <c r="H63" t="s">
        <v>28</v>
      </c>
      <c r="I63">
        <f>Table1[[#This Row],[Qty]]*Table1[[#This Row],[Unit_Price]]</f>
        <v>3218.76</v>
      </c>
    </row>
    <row r="64" spans="1:9" x14ac:dyDescent="0.25">
      <c r="A64">
        <v>10063</v>
      </c>
      <c r="B64" s="1">
        <v>45670</v>
      </c>
      <c r="C64" t="s">
        <v>13</v>
      </c>
      <c r="D64" t="s">
        <v>20</v>
      </c>
      <c r="E64" t="s">
        <v>11</v>
      </c>
      <c r="F64">
        <v>3</v>
      </c>
      <c r="G64">
        <v>1584.72</v>
      </c>
      <c r="H64" t="s">
        <v>12</v>
      </c>
      <c r="I64">
        <f>Table1[[#This Row],[Qty]]*Table1[[#This Row],[Unit_Price]]</f>
        <v>4754.16</v>
      </c>
    </row>
    <row r="65" spans="1:9" x14ac:dyDescent="0.25">
      <c r="A65">
        <v>10064</v>
      </c>
      <c r="B65" s="1">
        <v>45794</v>
      </c>
      <c r="C65" t="s">
        <v>33</v>
      </c>
      <c r="D65" t="s">
        <v>20</v>
      </c>
      <c r="E65" t="s">
        <v>11</v>
      </c>
      <c r="F65">
        <v>1</v>
      </c>
      <c r="G65">
        <v>1464.76</v>
      </c>
      <c r="H65" t="s">
        <v>28</v>
      </c>
      <c r="I65">
        <f>Table1[[#This Row],[Qty]]*Table1[[#This Row],[Unit_Price]]</f>
        <v>1464.76</v>
      </c>
    </row>
    <row r="66" spans="1:9" x14ac:dyDescent="0.25">
      <c r="A66">
        <v>10065</v>
      </c>
      <c r="B66" s="1">
        <v>45771</v>
      </c>
      <c r="C66" t="s">
        <v>9</v>
      </c>
      <c r="D66" t="s">
        <v>17</v>
      </c>
      <c r="E66" t="s">
        <v>11</v>
      </c>
      <c r="F66">
        <v>4</v>
      </c>
      <c r="G66">
        <v>11639.18</v>
      </c>
      <c r="H66" t="s">
        <v>12</v>
      </c>
      <c r="I66">
        <f>Table1[[#This Row],[Qty]]*Table1[[#This Row],[Unit_Price]]</f>
        <v>46556.72</v>
      </c>
    </row>
    <row r="67" spans="1:9" x14ac:dyDescent="0.25">
      <c r="A67">
        <v>10066</v>
      </c>
      <c r="B67" s="1">
        <v>45670</v>
      </c>
      <c r="C67" t="s">
        <v>29</v>
      </c>
      <c r="D67" t="s">
        <v>17</v>
      </c>
      <c r="E67" t="s">
        <v>11</v>
      </c>
      <c r="F67">
        <v>4</v>
      </c>
      <c r="G67">
        <v>11587.83</v>
      </c>
      <c r="H67" t="s">
        <v>18</v>
      </c>
      <c r="I67">
        <f>Table1[[#This Row],[Qty]]*Table1[[#This Row],[Unit_Price]]</f>
        <v>46351.32</v>
      </c>
    </row>
    <row r="68" spans="1:9" x14ac:dyDescent="0.25">
      <c r="A68">
        <v>10067</v>
      </c>
      <c r="B68" s="1">
        <v>45837</v>
      </c>
      <c r="C68" t="s">
        <v>33</v>
      </c>
      <c r="D68" t="s">
        <v>31</v>
      </c>
      <c r="E68" t="s">
        <v>11</v>
      </c>
      <c r="F68">
        <v>5</v>
      </c>
      <c r="G68">
        <v>8696.07</v>
      </c>
      <c r="H68" t="s">
        <v>14</v>
      </c>
      <c r="I68">
        <f>Table1[[#This Row],[Qty]]*Table1[[#This Row],[Unit_Price]]</f>
        <v>43480.35</v>
      </c>
    </row>
    <row r="69" spans="1:9" x14ac:dyDescent="0.25">
      <c r="A69">
        <v>10068</v>
      </c>
      <c r="B69" s="1">
        <v>45791</v>
      </c>
      <c r="C69" t="s">
        <v>26</v>
      </c>
      <c r="D69" t="s">
        <v>20</v>
      </c>
      <c r="E69" t="s">
        <v>11</v>
      </c>
      <c r="F69">
        <v>5</v>
      </c>
      <c r="G69">
        <v>1638.76</v>
      </c>
      <c r="H69" t="s">
        <v>14</v>
      </c>
      <c r="I69">
        <f>Table1[[#This Row],[Qty]]*Table1[[#This Row],[Unit_Price]]</f>
        <v>8193.7999999999993</v>
      </c>
    </row>
    <row r="70" spans="1:9" x14ac:dyDescent="0.25">
      <c r="A70">
        <v>10069</v>
      </c>
      <c r="B70" s="1">
        <v>45713</v>
      </c>
      <c r="C70" t="s">
        <v>21</v>
      </c>
      <c r="D70" t="s">
        <v>31</v>
      </c>
      <c r="E70" t="s">
        <v>11</v>
      </c>
      <c r="F70">
        <v>3</v>
      </c>
      <c r="G70">
        <v>9411.3799999999992</v>
      </c>
      <c r="H70" t="s">
        <v>28</v>
      </c>
      <c r="I70">
        <f>Table1[[#This Row],[Qty]]*Table1[[#This Row],[Unit_Price]]</f>
        <v>28234.14</v>
      </c>
    </row>
    <row r="71" spans="1:9" x14ac:dyDescent="0.25">
      <c r="A71">
        <v>10070</v>
      </c>
      <c r="B71" s="1">
        <v>45968</v>
      </c>
      <c r="C71" t="s">
        <v>9</v>
      </c>
      <c r="D71" t="s">
        <v>10</v>
      </c>
      <c r="E71" t="s">
        <v>11</v>
      </c>
      <c r="F71">
        <v>4</v>
      </c>
      <c r="G71">
        <v>539.95000000000005</v>
      </c>
      <c r="H71" t="s">
        <v>18</v>
      </c>
      <c r="I71">
        <f>Table1[[#This Row],[Qty]]*Table1[[#This Row],[Unit_Price]]</f>
        <v>2159.8000000000002</v>
      </c>
    </row>
    <row r="72" spans="1:9" x14ac:dyDescent="0.25">
      <c r="A72">
        <v>10071</v>
      </c>
      <c r="B72" s="1">
        <v>45680</v>
      </c>
      <c r="C72" t="s">
        <v>22</v>
      </c>
      <c r="D72" t="s">
        <v>31</v>
      </c>
      <c r="E72" t="s">
        <v>11</v>
      </c>
      <c r="F72">
        <v>1</v>
      </c>
      <c r="G72">
        <v>9035.86</v>
      </c>
      <c r="H72" t="s">
        <v>12</v>
      </c>
      <c r="I72">
        <f>Table1[[#This Row],[Qty]]*Table1[[#This Row],[Unit_Price]]</f>
        <v>9035.86</v>
      </c>
    </row>
    <row r="73" spans="1:9" x14ac:dyDescent="0.25">
      <c r="A73">
        <v>10072</v>
      </c>
      <c r="B73" s="1">
        <v>45844</v>
      </c>
      <c r="C73" t="s">
        <v>21</v>
      </c>
      <c r="D73" t="s">
        <v>31</v>
      </c>
      <c r="E73" t="s">
        <v>11</v>
      </c>
      <c r="F73">
        <v>1</v>
      </c>
      <c r="G73">
        <v>9807.9699999999993</v>
      </c>
      <c r="H73" t="s">
        <v>18</v>
      </c>
      <c r="I73">
        <f>Table1[[#This Row],[Qty]]*Table1[[#This Row],[Unit_Price]]</f>
        <v>9807.9699999999993</v>
      </c>
    </row>
    <row r="74" spans="1:9" x14ac:dyDescent="0.25">
      <c r="A74">
        <v>10073</v>
      </c>
      <c r="B74" s="1">
        <v>45997</v>
      </c>
      <c r="C74" t="s">
        <v>25</v>
      </c>
      <c r="D74" t="s">
        <v>10</v>
      </c>
      <c r="E74" t="s">
        <v>11</v>
      </c>
      <c r="F74">
        <v>3</v>
      </c>
      <c r="G74">
        <v>500.71</v>
      </c>
      <c r="H74" t="s">
        <v>28</v>
      </c>
      <c r="I74">
        <f>Table1[[#This Row],[Qty]]*Table1[[#This Row],[Unit_Price]]</f>
        <v>1502.1299999999999</v>
      </c>
    </row>
    <row r="75" spans="1:9" x14ac:dyDescent="0.25">
      <c r="A75">
        <v>10074</v>
      </c>
      <c r="B75" s="1">
        <v>45825</v>
      </c>
      <c r="C75" t="s">
        <v>9</v>
      </c>
      <c r="D75" t="s">
        <v>31</v>
      </c>
      <c r="E75" t="s">
        <v>11</v>
      </c>
      <c r="F75">
        <v>3</v>
      </c>
      <c r="G75">
        <v>9097.94</v>
      </c>
      <c r="H75" t="s">
        <v>28</v>
      </c>
      <c r="I75">
        <f>Table1[[#This Row],[Qty]]*Table1[[#This Row],[Unit_Price]]</f>
        <v>27293.82</v>
      </c>
    </row>
    <row r="76" spans="1:9" x14ac:dyDescent="0.25">
      <c r="A76">
        <v>10075</v>
      </c>
      <c r="B76" s="1">
        <v>45998</v>
      </c>
      <c r="C76" t="s">
        <v>26</v>
      </c>
      <c r="D76" t="s">
        <v>31</v>
      </c>
      <c r="E76" t="s">
        <v>11</v>
      </c>
      <c r="F76">
        <v>2</v>
      </c>
      <c r="G76">
        <v>9207.93</v>
      </c>
      <c r="H76" t="s">
        <v>28</v>
      </c>
      <c r="I76">
        <f>Table1[[#This Row],[Qty]]*Table1[[#This Row],[Unit_Price]]</f>
        <v>18415.86</v>
      </c>
    </row>
    <row r="77" spans="1:9" x14ac:dyDescent="0.25">
      <c r="A77">
        <v>10076</v>
      </c>
      <c r="B77" s="1">
        <v>45938</v>
      </c>
      <c r="C77" t="s">
        <v>13</v>
      </c>
      <c r="D77" t="s">
        <v>30</v>
      </c>
      <c r="E77" t="s">
        <v>11</v>
      </c>
      <c r="F77">
        <v>3</v>
      </c>
      <c r="G77">
        <v>47869.14</v>
      </c>
      <c r="H77" t="s">
        <v>18</v>
      </c>
      <c r="I77">
        <f>Table1[[#This Row],[Qty]]*Table1[[#This Row],[Unit_Price]]</f>
        <v>143607.41999999998</v>
      </c>
    </row>
    <row r="78" spans="1:9" x14ac:dyDescent="0.25">
      <c r="A78">
        <v>10077</v>
      </c>
      <c r="B78" s="1">
        <v>45896</v>
      </c>
      <c r="C78" t="s">
        <v>22</v>
      </c>
      <c r="D78" t="s">
        <v>32</v>
      </c>
      <c r="E78" t="s">
        <v>11</v>
      </c>
      <c r="F78">
        <v>4</v>
      </c>
      <c r="G78">
        <v>2587.81</v>
      </c>
      <c r="H78" t="s">
        <v>28</v>
      </c>
      <c r="I78">
        <f>Table1[[#This Row],[Qty]]*Table1[[#This Row],[Unit_Price]]</f>
        <v>10351.24</v>
      </c>
    </row>
    <row r="79" spans="1:9" x14ac:dyDescent="0.25">
      <c r="A79">
        <v>10078</v>
      </c>
      <c r="B79" s="1">
        <v>45744</v>
      </c>
      <c r="C79" t="s">
        <v>25</v>
      </c>
      <c r="D79" t="s">
        <v>10</v>
      </c>
      <c r="E79" t="s">
        <v>11</v>
      </c>
      <c r="F79">
        <v>3</v>
      </c>
      <c r="G79">
        <v>501.55</v>
      </c>
      <c r="H79" t="s">
        <v>18</v>
      </c>
      <c r="I79">
        <f>Table1[[#This Row],[Qty]]*Table1[[#This Row],[Unit_Price]]</f>
        <v>1504.65</v>
      </c>
    </row>
    <row r="80" spans="1:9" x14ac:dyDescent="0.25">
      <c r="A80">
        <v>10079</v>
      </c>
      <c r="B80" s="1">
        <v>45705</v>
      </c>
      <c r="C80" t="s">
        <v>9</v>
      </c>
      <c r="D80" t="s">
        <v>17</v>
      </c>
      <c r="E80" t="s">
        <v>11</v>
      </c>
      <c r="F80">
        <v>3</v>
      </c>
      <c r="G80">
        <v>11339.14</v>
      </c>
      <c r="H80" t="s">
        <v>12</v>
      </c>
      <c r="I80">
        <f>Table1[[#This Row],[Qty]]*Table1[[#This Row],[Unit_Price]]</f>
        <v>34017.42</v>
      </c>
    </row>
    <row r="81" spans="1:9" x14ac:dyDescent="0.25">
      <c r="A81">
        <v>10080</v>
      </c>
      <c r="B81" s="1">
        <v>45670</v>
      </c>
      <c r="C81" t="s">
        <v>15</v>
      </c>
      <c r="D81" t="s">
        <v>30</v>
      </c>
      <c r="E81" t="s">
        <v>11</v>
      </c>
      <c r="F81">
        <v>2</v>
      </c>
      <c r="G81">
        <v>54839.360000000001</v>
      </c>
      <c r="H81" t="s">
        <v>14</v>
      </c>
      <c r="I81">
        <f>Table1[[#This Row],[Qty]]*Table1[[#This Row],[Unit_Price]]</f>
        <v>109678.72</v>
      </c>
    </row>
    <row r="82" spans="1:9" x14ac:dyDescent="0.25">
      <c r="A82">
        <v>10081</v>
      </c>
      <c r="B82" s="1">
        <v>45891</v>
      </c>
      <c r="C82" t="s">
        <v>34</v>
      </c>
      <c r="D82" t="s">
        <v>31</v>
      </c>
      <c r="E82" t="s">
        <v>11</v>
      </c>
      <c r="F82">
        <v>5</v>
      </c>
      <c r="G82">
        <v>8449.98</v>
      </c>
      <c r="H82" t="s">
        <v>28</v>
      </c>
      <c r="I82">
        <f>Table1[[#This Row],[Qty]]*Table1[[#This Row],[Unit_Price]]</f>
        <v>42249.899999999994</v>
      </c>
    </row>
    <row r="83" spans="1:9" x14ac:dyDescent="0.25">
      <c r="A83">
        <v>10082</v>
      </c>
      <c r="B83" s="1">
        <v>45911</v>
      </c>
      <c r="C83" t="s">
        <v>34</v>
      </c>
      <c r="D83" t="s">
        <v>31</v>
      </c>
      <c r="E83" t="s">
        <v>11</v>
      </c>
      <c r="F83">
        <v>2</v>
      </c>
      <c r="G83">
        <v>8365.6299999999992</v>
      </c>
      <c r="H83" t="s">
        <v>14</v>
      </c>
      <c r="I83">
        <f>Table1[[#This Row],[Qty]]*Table1[[#This Row],[Unit_Price]]</f>
        <v>16731.259999999998</v>
      </c>
    </row>
    <row r="84" spans="1:9" x14ac:dyDescent="0.25">
      <c r="A84">
        <v>10083</v>
      </c>
      <c r="B84" s="1">
        <v>45712</v>
      </c>
      <c r="C84" t="s">
        <v>34</v>
      </c>
      <c r="D84" t="s">
        <v>31</v>
      </c>
      <c r="E84" t="s">
        <v>11</v>
      </c>
      <c r="F84">
        <v>2</v>
      </c>
      <c r="G84">
        <v>8416.6</v>
      </c>
      <c r="H84" t="s">
        <v>28</v>
      </c>
      <c r="I84">
        <f>Table1[[#This Row],[Qty]]*Table1[[#This Row],[Unit_Price]]</f>
        <v>16833.2</v>
      </c>
    </row>
    <row r="85" spans="1:9" x14ac:dyDescent="0.25">
      <c r="A85">
        <v>10084</v>
      </c>
      <c r="B85" s="1">
        <v>45683</v>
      </c>
      <c r="C85" t="s">
        <v>16</v>
      </c>
      <c r="D85" t="s">
        <v>17</v>
      </c>
      <c r="E85" t="s">
        <v>11</v>
      </c>
      <c r="F85">
        <v>1</v>
      </c>
      <c r="G85">
        <v>11895.51</v>
      </c>
      <c r="H85" t="s">
        <v>18</v>
      </c>
      <c r="I85">
        <f>Table1[[#This Row],[Qty]]*Table1[[#This Row],[Unit_Price]]</f>
        <v>11895.51</v>
      </c>
    </row>
    <row r="86" spans="1:9" x14ac:dyDescent="0.25">
      <c r="A86">
        <v>10085</v>
      </c>
      <c r="B86" s="1">
        <v>45884</v>
      </c>
      <c r="C86" t="s">
        <v>19</v>
      </c>
      <c r="D86" t="s">
        <v>31</v>
      </c>
      <c r="E86" t="s">
        <v>11</v>
      </c>
      <c r="F86">
        <v>5</v>
      </c>
      <c r="G86">
        <v>8902.64</v>
      </c>
      <c r="H86" t="s">
        <v>28</v>
      </c>
      <c r="I86">
        <f>Table1[[#This Row],[Qty]]*Table1[[#This Row],[Unit_Price]]</f>
        <v>44513.2</v>
      </c>
    </row>
    <row r="87" spans="1:9" x14ac:dyDescent="0.25">
      <c r="A87">
        <v>10086</v>
      </c>
      <c r="B87" s="1">
        <v>45888</v>
      </c>
      <c r="C87" t="s">
        <v>26</v>
      </c>
      <c r="D87" t="s">
        <v>23</v>
      </c>
      <c r="E87" t="s">
        <v>24</v>
      </c>
      <c r="F87">
        <v>2</v>
      </c>
      <c r="G87">
        <v>7475.81</v>
      </c>
      <c r="H87" t="s">
        <v>28</v>
      </c>
      <c r="I87">
        <f>Table1[[#This Row],[Qty]]*Table1[[#This Row],[Unit_Price]]</f>
        <v>14951.62</v>
      </c>
    </row>
    <row r="88" spans="1:9" x14ac:dyDescent="0.25">
      <c r="A88">
        <v>10087</v>
      </c>
      <c r="B88" s="1">
        <v>45978</v>
      </c>
      <c r="C88" t="s">
        <v>34</v>
      </c>
      <c r="D88" t="s">
        <v>17</v>
      </c>
      <c r="E88" t="s">
        <v>11</v>
      </c>
      <c r="F88">
        <v>3</v>
      </c>
      <c r="G88">
        <v>11855.69</v>
      </c>
      <c r="H88" t="s">
        <v>18</v>
      </c>
      <c r="I88">
        <f>Table1[[#This Row],[Qty]]*Table1[[#This Row],[Unit_Price]]</f>
        <v>35567.07</v>
      </c>
    </row>
    <row r="89" spans="1:9" x14ac:dyDescent="0.25">
      <c r="A89">
        <v>10088</v>
      </c>
      <c r="B89" s="1">
        <v>45778</v>
      </c>
      <c r="C89" t="s">
        <v>22</v>
      </c>
      <c r="D89" t="s">
        <v>23</v>
      </c>
      <c r="E89" t="s">
        <v>24</v>
      </c>
      <c r="F89">
        <v>3</v>
      </c>
      <c r="G89">
        <v>6747.59</v>
      </c>
      <c r="H89" t="s">
        <v>14</v>
      </c>
      <c r="I89">
        <f>Table1[[#This Row],[Qty]]*Table1[[#This Row],[Unit_Price]]</f>
        <v>20242.77</v>
      </c>
    </row>
    <row r="90" spans="1:9" x14ac:dyDescent="0.25">
      <c r="A90">
        <v>10089</v>
      </c>
      <c r="B90" s="1">
        <v>45728</v>
      </c>
      <c r="C90" t="s">
        <v>19</v>
      </c>
      <c r="D90" t="s">
        <v>20</v>
      </c>
      <c r="E90" t="s">
        <v>11</v>
      </c>
      <c r="F90">
        <v>2</v>
      </c>
      <c r="G90">
        <v>1464.91</v>
      </c>
      <c r="H90" t="s">
        <v>12</v>
      </c>
      <c r="I90">
        <f>Table1[[#This Row],[Qty]]*Table1[[#This Row],[Unit_Price]]</f>
        <v>2929.82</v>
      </c>
    </row>
    <row r="91" spans="1:9" x14ac:dyDescent="0.25">
      <c r="A91">
        <v>10090</v>
      </c>
      <c r="B91" s="1">
        <v>45690</v>
      </c>
      <c r="C91" t="s">
        <v>16</v>
      </c>
      <c r="D91" t="s">
        <v>31</v>
      </c>
      <c r="E91" t="s">
        <v>11</v>
      </c>
      <c r="F91">
        <v>4</v>
      </c>
      <c r="G91">
        <v>8695.59</v>
      </c>
      <c r="H91" t="s">
        <v>28</v>
      </c>
      <c r="I91">
        <f>Table1[[#This Row],[Qty]]*Table1[[#This Row],[Unit_Price]]</f>
        <v>34782.36</v>
      </c>
    </row>
    <row r="92" spans="1:9" x14ac:dyDescent="0.25">
      <c r="A92">
        <v>10091</v>
      </c>
      <c r="B92" s="1">
        <v>45689</v>
      </c>
      <c r="C92" t="s">
        <v>15</v>
      </c>
      <c r="D92" t="s">
        <v>17</v>
      </c>
      <c r="E92" t="s">
        <v>11</v>
      </c>
      <c r="F92">
        <v>4</v>
      </c>
      <c r="G92">
        <v>11734.74</v>
      </c>
      <c r="H92" t="s">
        <v>14</v>
      </c>
      <c r="I92">
        <f>Table1[[#This Row],[Qty]]*Table1[[#This Row],[Unit_Price]]</f>
        <v>46938.96</v>
      </c>
    </row>
    <row r="93" spans="1:9" x14ac:dyDescent="0.25">
      <c r="A93">
        <v>10092</v>
      </c>
      <c r="B93" s="1">
        <v>45952</v>
      </c>
      <c r="C93" t="s">
        <v>21</v>
      </c>
      <c r="D93" t="s">
        <v>31</v>
      </c>
      <c r="E93" t="s">
        <v>11</v>
      </c>
      <c r="F93">
        <v>4</v>
      </c>
      <c r="G93">
        <v>8110.61</v>
      </c>
      <c r="H93" t="s">
        <v>18</v>
      </c>
      <c r="I93">
        <f>Table1[[#This Row],[Qty]]*Table1[[#This Row],[Unit_Price]]</f>
        <v>32442.44</v>
      </c>
    </row>
    <row r="94" spans="1:9" x14ac:dyDescent="0.25">
      <c r="A94">
        <v>10093</v>
      </c>
      <c r="B94" s="1">
        <v>45857</v>
      </c>
      <c r="C94" t="s">
        <v>22</v>
      </c>
      <c r="D94" t="s">
        <v>31</v>
      </c>
      <c r="E94" t="s">
        <v>11</v>
      </c>
      <c r="F94">
        <v>5</v>
      </c>
      <c r="G94">
        <v>9445.5300000000007</v>
      </c>
      <c r="H94" t="s">
        <v>12</v>
      </c>
      <c r="I94">
        <f>Table1[[#This Row],[Qty]]*Table1[[#This Row],[Unit_Price]]</f>
        <v>47227.65</v>
      </c>
    </row>
    <row r="95" spans="1:9" x14ac:dyDescent="0.25">
      <c r="A95">
        <v>10094</v>
      </c>
      <c r="B95" s="1">
        <v>45907</v>
      </c>
      <c r="C95" t="s">
        <v>33</v>
      </c>
      <c r="D95" t="s">
        <v>17</v>
      </c>
      <c r="E95" t="s">
        <v>11</v>
      </c>
      <c r="F95">
        <v>3</v>
      </c>
      <c r="G95">
        <v>11846.01</v>
      </c>
      <c r="H95" t="s">
        <v>28</v>
      </c>
      <c r="I95">
        <f>Table1[[#This Row],[Qty]]*Table1[[#This Row],[Unit_Price]]</f>
        <v>35538.03</v>
      </c>
    </row>
    <row r="96" spans="1:9" x14ac:dyDescent="0.25">
      <c r="A96">
        <v>10095</v>
      </c>
      <c r="B96" s="1">
        <v>45830</v>
      </c>
      <c r="C96" t="s">
        <v>19</v>
      </c>
      <c r="D96" t="s">
        <v>31</v>
      </c>
      <c r="E96" t="s">
        <v>11</v>
      </c>
      <c r="F96">
        <v>2</v>
      </c>
      <c r="G96">
        <v>9612.91</v>
      </c>
      <c r="H96" t="s">
        <v>14</v>
      </c>
      <c r="I96">
        <f>Table1[[#This Row],[Qty]]*Table1[[#This Row],[Unit_Price]]</f>
        <v>19225.82</v>
      </c>
    </row>
    <row r="97" spans="1:9" x14ac:dyDescent="0.25">
      <c r="A97">
        <v>10096</v>
      </c>
      <c r="B97" s="1">
        <v>45859</v>
      </c>
      <c r="C97" t="s">
        <v>19</v>
      </c>
      <c r="D97" t="s">
        <v>30</v>
      </c>
      <c r="E97" t="s">
        <v>11</v>
      </c>
      <c r="F97">
        <v>1</v>
      </c>
      <c r="G97">
        <v>51427.5</v>
      </c>
      <c r="H97" t="s">
        <v>28</v>
      </c>
      <c r="I97">
        <f>Table1[[#This Row],[Qty]]*Table1[[#This Row],[Unit_Price]]</f>
        <v>51427.5</v>
      </c>
    </row>
    <row r="98" spans="1:9" x14ac:dyDescent="0.25">
      <c r="A98">
        <v>10097</v>
      </c>
      <c r="B98" s="1">
        <v>45751</v>
      </c>
      <c r="C98" t="s">
        <v>9</v>
      </c>
      <c r="D98" t="s">
        <v>30</v>
      </c>
      <c r="E98" t="s">
        <v>11</v>
      </c>
      <c r="F98">
        <v>3</v>
      </c>
      <c r="G98">
        <v>48791.040000000001</v>
      </c>
      <c r="H98" t="s">
        <v>28</v>
      </c>
      <c r="I98">
        <f>Table1[[#This Row],[Qty]]*Table1[[#This Row],[Unit_Price]]</f>
        <v>146373.12</v>
      </c>
    </row>
    <row r="99" spans="1:9" x14ac:dyDescent="0.25">
      <c r="A99">
        <v>10098</v>
      </c>
      <c r="B99" s="1">
        <v>45825</v>
      </c>
      <c r="C99" t="s">
        <v>13</v>
      </c>
      <c r="D99" t="s">
        <v>27</v>
      </c>
      <c r="E99" t="s">
        <v>24</v>
      </c>
      <c r="F99">
        <v>4</v>
      </c>
      <c r="G99">
        <v>11467.82</v>
      </c>
      <c r="H99" t="s">
        <v>18</v>
      </c>
      <c r="I99">
        <f>Table1[[#This Row],[Qty]]*Table1[[#This Row],[Unit_Price]]</f>
        <v>45871.28</v>
      </c>
    </row>
    <row r="100" spans="1:9" x14ac:dyDescent="0.25">
      <c r="A100">
        <v>10099</v>
      </c>
      <c r="B100" s="1">
        <v>45699</v>
      </c>
      <c r="C100" t="s">
        <v>33</v>
      </c>
      <c r="D100" t="s">
        <v>32</v>
      </c>
      <c r="E100" t="s">
        <v>11</v>
      </c>
      <c r="F100">
        <v>1</v>
      </c>
      <c r="G100">
        <v>2624.51</v>
      </c>
      <c r="H100" t="s">
        <v>18</v>
      </c>
      <c r="I100">
        <f>Table1[[#This Row],[Qty]]*Table1[[#This Row],[Unit_Price]]</f>
        <v>2624.51</v>
      </c>
    </row>
    <row r="101" spans="1:9" x14ac:dyDescent="0.25">
      <c r="A101">
        <v>10100</v>
      </c>
      <c r="B101" s="1">
        <v>45772</v>
      </c>
      <c r="C101" t="s">
        <v>9</v>
      </c>
      <c r="D101" t="s">
        <v>10</v>
      </c>
      <c r="E101" t="s">
        <v>11</v>
      </c>
      <c r="F101">
        <v>1</v>
      </c>
      <c r="G101">
        <v>525.41999999999996</v>
      </c>
      <c r="H101" t="s">
        <v>12</v>
      </c>
      <c r="I101">
        <f>Table1[[#This Row],[Qty]]*Table1[[#This Row],[Unit_Price]]</f>
        <v>525.41999999999996</v>
      </c>
    </row>
    <row r="102" spans="1:9" x14ac:dyDescent="0.25">
      <c r="A102">
        <v>10101</v>
      </c>
      <c r="B102" s="1">
        <v>45668</v>
      </c>
      <c r="C102" t="s">
        <v>25</v>
      </c>
      <c r="D102" t="s">
        <v>20</v>
      </c>
      <c r="E102" t="s">
        <v>11</v>
      </c>
      <c r="F102">
        <v>2</v>
      </c>
      <c r="G102">
        <v>1387.87</v>
      </c>
      <c r="H102" t="s">
        <v>14</v>
      </c>
      <c r="I102">
        <f>Table1[[#This Row],[Qty]]*Table1[[#This Row],[Unit_Price]]</f>
        <v>2775.74</v>
      </c>
    </row>
    <row r="103" spans="1:9" x14ac:dyDescent="0.25">
      <c r="A103">
        <v>10102</v>
      </c>
      <c r="B103" s="1">
        <v>45946</v>
      </c>
      <c r="C103" t="s">
        <v>21</v>
      </c>
      <c r="D103" t="s">
        <v>17</v>
      </c>
      <c r="E103" t="s">
        <v>11</v>
      </c>
      <c r="F103">
        <v>4</v>
      </c>
      <c r="G103">
        <v>12478.72</v>
      </c>
      <c r="H103" t="s">
        <v>12</v>
      </c>
      <c r="I103">
        <f>Table1[[#This Row],[Qty]]*Table1[[#This Row],[Unit_Price]]</f>
        <v>49914.879999999997</v>
      </c>
    </row>
    <row r="104" spans="1:9" x14ac:dyDescent="0.25">
      <c r="A104">
        <v>10103</v>
      </c>
      <c r="B104" s="1">
        <v>45968</v>
      </c>
      <c r="C104" t="s">
        <v>29</v>
      </c>
      <c r="D104" t="s">
        <v>10</v>
      </c>
      <c r="E104" t="s">
        <v>11</v>
      </c>
      <c r="F104">
        <v>2</v>
      </c>
      <c r="G104">
        <v>546.47</v>
      </c>
      <c r="H104" t="s">
        <v>14</v>
      </c>
      <c r="I104">
        <f>Table1[[#This Row],[Qty]]*Table1[[#This Row],[Unit_Price]]</f>
        <v>1092.94</v>
      </c>
    </row>
    <row r="105" spans="1:9" x14ac:dyDescent="0.25">
      <c r="A105">
        <v>10104</v>
      </c>
      <c r="B105" s="1">
        <v>45817</v>
      </c>
      <c r="C105" t="s">
        <v>9</v>
      </c>
      <c r="D105" t="s">
        <v>31</v>
      </c>
      <c r="E105" t="s">
        <v>11</v>
      </c>
      <c r="F105">
        <v>4</v>
      </c>
      <c r="G105">
        <v>9794.65</v>
      </c>
      <c r="H105" t="s">
        <v>14</v>
      </c>
      <c r="I105">
        <f>Table1[[#This Row],[Qty]]*Table1[[#This Row],[Unit_Price]]</f>
        <v>39178.6</v>
      </c>
    </row>
    <row r="106" spans="1:9" x14ac:dyDescent="0.25">
      <c r="A106">
        <v>10105</v>
      </c>
      <c r="B106" s="1">
        <v>45961</v>
      </c>
      <c r="C106" t="s">
        <v>26</v>
      </c>
      <c r="D106" t="s">
        <v>17</v>
      </c>
      <c r="E106" t="s">
        <v>11</v>
      </c>
      <c r="F106">
        <v>1</v>
      </c>
      <c r="G106">
        <v>12473.26</v>
      </c>
      <c r="H106" t="s">
        <v>14</v>
      </c>
      <c r="I106">
        <f>Table1[[#This Row],[Qty]]*Table1[[#This Row],[Unit_Price]]</f>
        <v>12473.26</v>
      </c>
    </row>
    <row r="107" spans="1:9" x14ac:dyDescent="0.25">
      <c r="A107">
        <v>10106</v>
      </c>
      <c r="B107" s="1">
        <v>45947</v>
      </c>
      <c r="C107" t="s">
        <v>25</v>
      </c>
      <c r="D107" t="s">
        <v>30</v>
      </c>
      <c r="E107" t="s">
        <v>11</v>
      </c>
      <c r="F107">
        <v>3</v>
      </c>
      <c r="G107">
        <v>50327.45</v>
      </c>
      <c r="H107" t="s">
        <v>18</v>
      </c>
      <c r="I107">
        <f>Table1[[#This Row],[Qty]]*Table1[[#This Row],[Unit_Price]]</f>
        <v>150982.34999999998</v>
      </c>
    </row>
    <row r="108" spans="1:9" x14ac:dyDescent="0.25">
      <c r="A108">
        <v>10107</v>
      </c>
      <c r="B108" s="1">
        <v>45693</v>
      </c>
      <c r="C108" t="s">
        <v>16</v>
      </c>
      <c r="D108" t="s">
        <v>27</v>
      </c>
      <c r="E108" t="s">
        <v>24</v>
      </c>
      <c r="F108">
        <v>1</v>
      </c>
      <c r="G108">
        <v>12838.98</v>
      </c>
      <c r="H108" t="s">
        <v>14</v>
      </c>
      <c r="I108">
        <f>Table1[[#This Row],[Qty]]*Table1[[#This Row],[Unit_Price]]</f>
        <v>12838.98</v>
      </c>
    </row>
    <row r="109" spans="1:9" x14ac:dyDescent="0.25">
      <c r="A109">
        <v>10108</v>
      </c>
      <c r="B109" s="1">
        <v>45879</v>
      </c>
      <c r="C109" t="s">
        <v>13</v>
      </c>
      <c r="D109" t="s">
        <v>27</v>
      </c>
      <c r="E109" t="s">
        <v>24</v>
      </c>
      <c r="F109">
        <v>4</v>
      </c>
      <c r="G109">
        <v>12497.54</v>
      </c>
      <c r="H109" t="s">
        <v>12</v>
      </c>
      <c r="I109">
        <f>Table1[[#This Row],[Qty]]*Table1[[#This Row],[Unit_Price]]</f>
        <v>49990.16</v>
      </c>
    </row>
    <row r="110" spans="1:9" x14ac:dyDescent="0.25">
      <c r="A110">
        <v>10109</v>
      </c>
      <c r="B110" s="1">
        <v>45925</v>
      </c>
      <c r="C110" t="s">
        <v>22</v>
      </c>
      <c r="D110" t="s">
        <v>23</v>
      </c>
      <c r="E110" t="s">
        <v>24</v>
      </c>
      <c r="F110">
        <v>5</v>
      </c>
      <c r="G110">
        <v>7431.48</v>
      </c>
      <c r="H110" t="s">
        <v>28</v>
      </c>
      <c r="I110">
        <f>Table1[[#This Row],[Qty]]*Table1[[#This Row],[Unit_Price]]</f>
        <v>37157.399999999994</v>
      </c>
    </row>
    <row r="111" spans="1:9" x14ac:dyDescent="0.25">
      <c r="A111">
        <v>10110</v>
      </c>
      <c r="B111" s="1">
        <v>45896</v>
      </c>
      <c r="C111" t="s">
        <v>9</v>
      </c>
      <c r="D111" t="s">
        <v>31</v>
      </c>
      <c r="E111" t="s">
        <v>11</v>
      </c>
      <c r="F111">
        <v>5</v>
      </c>
      <c r="G111">
        <v>8583.11</v>
      </c>
      <c r="H111" t="s">
        <v>14</v>
      </c>
      <c r="I111">
        <f>Table1[[#This Row],[Qty]]*Table1[[#This Row],[Unit_Price]]</f>
        <v>42915.55</v>
      </c>
    </row>
    <row r="112" spans="1:9" x14ac:dyDescent="0.25">
      <c r="A112">
        <v>10111</v>
      </c>
      <c r="B112" s="1">
        <v>45800</v>
      </c>
      <c r="C112" t="s">
        <v>15</v>
      </c>
      <c r="D112" t="s">
        <v>32</v>
      </c>
      <c r="E112" t="s">
        <v>11</v>
      </c>
      <c r="F112">
        <v>2</v>
      </c>
      <c r="G112">
        <v>2625.24</v>
      </c>
      <c r="H112" t="s">
        <v>28</v>
      </c>
      <c r="I112">
        <f>Table1[[#This Row],[Qty]]*Table1[[#This Row],[Unit_Price]]</f>
        <v>5250.48</v>
      </c>
    </row>
    <row r="113" spans="1:9" x14ac:dyDescent="0.25">
      <c r="A113">
        <v>10112</v>
      </c>
      <c r="B113" s="1">
        <v>45830</v>
      </c>
      <c r="C113" t="s">
        <v>19</v>
      </c>
      <c r="D113" t="s">
        <v>30</v>
      </c>
      <c r="E113" t="s">
        <v>11</v>
      </c>
      <c r="F113">
        <v>4</v>
      </c>
      <c r="G113">
        <v>53509.53</v>
      </c>
      <c r="H113" t="s">
        <v>28</v>
      </c>
      <c r="I113">
        <f>Table1[[#This Row],[Qty]]*Table1[[#This Row],[Unit_Price]]</f>
        <v>214038.12</v>
      </c>
    </row>
    <row r="114" spans="1:9" x14ac:dyDescent="0.25">
      <c r="A114">
        <v>10113</v>
      </c>
      <c r="B114" s="1">
        <v>45766</v>
      </c>
      <c r="C114" t="s">
        <v>15</v>
      </c>
      <c r="D114" t="s">
        <v>27</v>
      </c>
      <c r="E114" t="s">
        <v>24</v>
      </c>
      <c r="F114">
        <v>3</v>
      </c>
      <c r="G114">
        <v>11616.81</v>
      </c>
      <c r="H114" t="s">
        <v>18</v>
      </c>
      <c r="I114">
        <f>Table1[[#This Row],[Qty]]*Table1[[#This Row],[Unit_Price]]</f>
        <v>34850.43</v>
      </c>
    </row>
    <row r="115" spans="1:9" x14ac:dyDescent="0.25">
      <c r="A115">
        <v>10114</v>
      </c>
      <c r="B115" s="1">
        <v>45942</v>
      </c>
      <c r="C115" t="s">
        <v>29</v>
      </c>
      <c r="D115" t="s">
        <v>30</v>
      </c>
      <c r="E115" t="s">
        <v>11</v>
      </c>
      <c r="F115">
        <v>5</v>
      </c>
      <c r="G115">
        <v>54480.63</v>
      </c>
      <c r="H115" t="s">
        <v>12</v>
      </c>
      <c r="I115">
        <f>Table1[[#This Row],[Qty]]*Table1[[#This Row],[Unit_Price]]</f>
        <v>272403.14999999997</v>
      </c>
    </row>
    <row r="116" spans="1:9" x14ac:dyDescent="0.25">
      <c r="A116">
        <v>10115</v>
      </c>
      <c r="B116" s="1">
        <v>45866</v>
      </c>
      <c r="C116" t="s">
        <v>34</v>
      </c>
      <c r="D116" t="s">
        <v>32</v>
      </c>
      <c r="E116" t="s">
        <v>11</v>
      </c>
      <c r="F116">
        <v>5</v>
      </c>
      <c r="G116">
        <v>2629.08</v>
      </c>
      <c r="H116" t="s">
        <v>28</v>
      </c>
      <c r="I116">
        <f>Table1[[#This Row],[Qty]]*Table1[[#This Row],[Unit_Price]]</f>
        <v>13145.4</v>
      </c>
    </row>
    <row r="117" spans="1:9" x14ac:dyDescent="0.25">
      <c r="A117">
        <v>10116</v>
      </c>
      <c r="B117" s="1">
        <v>45988</v>
      </c>
      <c r="C117" t="s">
        <v>29</v>
      </c>
      <c r="D117" t="s">
        <v>32</v>
      </c>
      <c r="E117" t="s">
        <v>11</v>
      </c>
      <c r="F117">
        <v>4</v>
      </c>
      <c r="G117">
        <v>2646.47</v>
      </c>
      <c r="H117" t="s">
        <v>18</v>
      </c>
      <c r="I117">
        <f>Table1[[#This Row],[Qty]]*Table1[[#This Row],[Unit_Price]]</f>
        <v>10585.88</v>
      </c>
    </row>
    <row r="118" spans="1:9" x14ac:dyDescent="0.25">
      <c r="A118">
        <v>10117</v>
      </c>
      <c r="B118" s="1">
        <v>45771</v>
      </c>
      <c r="C118" t="s">
        <v>15</v>
      </c>
      <c r="D118" t="s">
        <v>31</v>
      </c>
      <c r="E118" t="s">
        <v>11</v>
      </c>
      <c r="F118">
        <v>2</v>
      </c>
      <c r="G118">
        <v>8651.17</v>
      </c>
      <c r="H118" t="s">
        <v>18</v>
      </c>
      <c r="I118">
        <f>Table1[[#This Row],[Qty]]*Table1[[#This Row],[Unit_Price]]</f>
        <v>17302.34</v>
      </c>
    </row>
    <row r="119" spans="1:9" x14ac:dyDescent="0.25">
      <c r="A119">
        <v>10118</v>
      </c>
      <c r="B119" s="1">
        <v>45900</v>
      </c>
      <c r="C119" t="s">
        <v>22</v>
      </c>
      <c r="D119" t="s">
        <v>27</v>
      </c>
      <c r="E119" t="s">
        <v>24</v>
      </c>
      <c r="F119">
        <v>4</v>
      </c>
      <c r="G119">
        <v>13191.92</v>
      </c>
      <c r="H119" t="s">
        <v>18</v>
      </c>
      <c r="I119">
        <f>Table1[[#This Row],[Qty]]*Table1[[#This Row],[Unit_Price]]</f>
        <v>52767.68</v>
      </c>
    </row>
    <row r="120" spans="1:9" x14ac:dyDescent="0.25">
      <c r="A120">
        <v>10119</v>
      </c>
      <c r="B120" s="1">
        <v>45838</v>
      </c>
      <c r="C120" t="s">
        <v>9</v>
      </c>
      <c r="D120" t="s">
        <v>32</v>
      </c>
      <c r="E120" t="s">
        <v>11</v>
      </c>
      <c r="F120">
        <v>3</v>
      </c>
      <c r="G120">
        <v>2403.31</v>
      </c>
      <c r="H120" t="s">
        <v>14</v>
      </c>
      <c r="I120">
        <f>Table1[[#This Row],[Qty]]*Table1[[#This Row],[Unit_Price]]</f>
        <v>7209.93</v>
      </c>
    </row>
    <row r="121" spans="1:9" x14ac:dyDescent="0.25">
      <c r="A121">
        <v>10120</v>
      </c>
      <c r="B121" s="1">
        <v>45756</v>
      </c>
      <c r="C121" t="s">
        <v>34</v>
      </c>
      <c r="D121" t="s">
        <v>27</v>
      </c>
      <c r="E121" t="s">
        <v>24</v>
      </c>
      <c r="F121">
        <v>1</v>
      </c>
      <c r="G121">
        <v>12582.91</v>
      </c>
      <c r="H121" t="s">
        <v>12</v>
      </c>
      <c r="I121">
        <f>Table1[[#This Row],[Qty]]*Table1[[#This Row],[Unit_Price]]</f>
        <v>12582.91</v>
      </c>
    </row>
    <row r="122" spans="1:9" x14ac:dyDescent="0.25">
      <c r="A122">
        <v>10121</v>
      </c>
      <c r="B122" s="1">
        <v>45756</v>
      </c>
      <c r="C122" t="s">
        <v>15</v>
      </c>
      <c r="D122" t="s">
        <v>17</v>
      </c>
      <c r="E122" t="s">
        <v>11</v>
      </c>
      <c r="F122">
        <v>4</v>
      </c>
      <c r="G122">
        <v>11463.6</v>
      </c>
      <c r="H122" t="s">
        <v>18</v>
      </c>
      <c r="I122">
        <f>Table1[[#This Row],[Qty]]*Table1[[#This Row],[Unit_Price]]</f>
        <v>45854.400000000001</v>
      </c>
    </row>
    <row r="123" spans="1:9" x14ac:dyDescent="0.25">
      <c r="A123">
        <v>10122</v>
      </c>
      <c r="B123" s="1">
        <v>45709</v>
      </c>
      <c r="C123" t="s">
        <v>19</v>
      </c>
      <c r="D123" t="s">
        <v>17</v>
      </c>
      <c r="E123" t="s">
        <v>11</v>
      </c>
      <c r="F123">
        <v>3</v>
      </c>
      <c r="G123">
        <v>11345.96</v>
      </c>
      <c r="H123" t="s">
        <v>18</v>
      </c>
      <c r="I123">
        <f>Table1[[#This Row],[Qty]]*Table1[[#This Row],[Unit_Price]]</f>
        <v>34037.879999999997</v>
      </c>
    </row>
    <row r="124" spans="1:9" x14ac:dyDescent="0.25">
      <c r="A124">
        <v>10123</v>
      </c>
      <c r="B124" s="1">
        <v>45665</v>
      </c>
      <c r="C124" t="s">
        <v>33</v>
      </c>
      <c r="D124" t="s">
        <v>20</v>
      </c>
      <c r="E124" t="s">
        <v>11</v>
      </c>
      <c r="F124">
        <v>3</v>
      </c>
      <c r="G124">
        <v>1363.65</v>
      </c>
      <c r="H124" t="s">
        <v>18</v>
      </c>
      <c r="I124">
        <f>Table1[[#This Row],[Qty]]*Table1[[#This Row],[Unit_Price]]</f>
        <v>4090.9500000000003</v>
      </c>
    </row>
    <row r="125" spans="1:9" x14ac:dyDescent="0.25">
      <c r="A125">
        <v>10124</v>
      </c>
      <c r="B125" s="1">
        <v>46015</v>
      </c>
      <c r="C125" t="s">
        <v>33</v>
      </c>
      <c r="D125" t="s">
        <v>20</v>
      </c>
      <c r="E125" t="s">
        <v>11</v>
      </c>
      <c r="F125">
        <v>4</v>
      </c>
      <c r="G125">
        <v>1380.78</v>
      </c>
      <c r="H125" t="s">
        <v>18</v>
      </c>
      <c r="I125">
        <f>Table1[[#This Row],[Qty]]*Table1[[#This Row],[Unit_Price]]</f>
        <v>5523.12</v>
      </c>
    </row>
    <row r="126" spans="1:9" x14ac:dyDescent="0.25">
      <c r="A126">
        <v>10125</v>
      </c>
      <c r="B126" s="1">
        <v>45898</v>
      </c>
      <c r="C126" t="s">
        <v>33</v>
      </c>
      <c r="D126" t="s">
        <v>32</v>
      </c>
      <c r="E126" t="s">
        <v>11</v>
      </c>
      <c r="F126">
        <v>4</v>
      </c>
      <c r="G126">
        <v>2420.35</v>
      </c>
      <c r="H126" t="s">
        <v>18</v>
      </c>
      <c r="I126">
        <f>Table1[[#This Row],[Qty]]*Table1[[#This Row],[Unit_Price]]</f>
        <v>9681.4</v>
      </c>
    </row>
    <row r="127" spans="1:9" x14ac:dyDescent="0.25">
      <c r="A127">
        <v>10126</v>
      </c>
      <c r="B127" s="1">
        <v>45902</v>
      </c>
      <c r="C127" t="s">
        <v>29</v>
      </c>
      <c r="D127" t="s">
        <v>10</v>
      </c>
      <c r="E127" t="s">
        <v>11</v>
      </c>
      <c r="F127">
        <v>1</v>
      </c>
      <c r="G127">
        <v>490.07</v>
      </c>
      <c r="H127" t="s">
        <v>14</v>
      </c>
      <c r="I127">
        <f>Table1[[#This Row],[Qty]]*Table1[[#This Row],[Unit_Price]]</f>
        <v>490.07</v>
      </c>
    </row>
    <row r="128" spans="1:9" x14ac:dyDescent="0.25">
      <c r="A128">
        <v>10127</v>
      </c>
      <c r="B128" s="1">
        <v>45735</v>
      </c>
      <c r="C128" t="s">
        <v>29</v>
      </c>
      <c r="D128" t="s">
        <v>20</v>
      </c>
      <c r="E128" t="s">
        <v>11</v>
      </c>
      <c r="F128">
        <v>5</v>
      </c>
      <c r="G128">
        <v>1634.74</v>
      </c>
      <c r="H128" t="s">
        <v>12</v>
      </c>
      <c r="I128">
        <f>Table1[[#This Row],[Qty]]*Table1[[#This Row],[Unit_Price]]</f>
        <v>8173.7</v>
      </c>
    </row>
    <row r="129" spans="1:9" x14ac:dyDescent="0.25">
      <c r="A129">
        <v>10128</v>
      </c>
      <c r="B129" s="1">
        <v>45718</v>
      </c>
      <c r="C129" t="s">
        <v>15</v>
      </c>
      <c r="D129" t="s">
        <v>31</v>
      </c>
      <c r="E129" t="s">
        <v>11</v>
      </c>
      <c r="F129">
        <v>5</v>
      </c>
      <c r="G129">
        <v>9173.0300000000007</v>
      </c>
      <c r="H129" t="s">
        <v>12</v>
      </c>
      <c r="I129">
        <f>Table1[[#This Row],[Qty]]*Table1[[#This Row],[Unit_Price]]</f>
        <v>45865.15</v>
      </c>
    </row>
    <row r="130" spans="1:9" x14ac:dyDescent="0.25">
      <c r="A130">
        <v>10129</v>
      </c>
      <c r="B130" s="1">
        <v>45925</v>
      </c>
      <c r="C130" t="s">
        <v>26</v>
      </c>
      <c r="D130" t="s">
        <v>31</v>
      </c>
      <c r="E130" t="s">
        <v>11</v>
      </c>
      <c r="F130">
        <v>4</v>
      </c>
      <c r="G130">
        <v>9735.31</v>
      </c>
      <c r="H130" t="s">
        <v>28</v>
      </c>
      <c r="I130">
        <f>Table1[[#This Row],[Qty]]*Table1[[#This Row],[Unit_Price]]</f>
        <v>38941.24</v>
      </c>
    </row>
    <row r="131" spans="1:9" x14ac:dyDescent="0.25">
      <c r="A131">
        <v>10130</v>
      </c>
      <c r="B131" s="1">
        <v>45814</v>
      </c>
      <c r="C131" t="s">
        <v>29</v>
      </c>
      <c r="D131" t="s">
        <v>30</v>
      </c>
      <c r="E131" t="s">
        <v>11</v>
      </c>
      <c r="F131">
        <v>5</v>
      </c>
      <c r="G131">
        <v>54601.09</v>
      </c>
      <c r="H131" t="s">
        <v>12</v>
      </c>
      <c r="I131">
        <f>Table1[[#This Row],[Qty]]*Table1[[#This Row],[Unit_Price]]</f>
        <v>273005.44999999995</v>
      </c>
    </row>
    <row r="132" spans="1:9" x14ac:dyDescent="0.25">
      <c r="A132">
        <v>10131</v>
      </c>
      <c r="B132" s="1">
        <v>45978</v>
      </c>
      <c r="C132" t="s">
        <v>19</v>
      </c>
      <c r="D132" t="s">
        <v>17</v>
      </c>
      <c r="E132" t="s">
        <v>11</v>
      </c>
      <c r="F132">
        <v>3</v>
      </c>
      <c r="G132">
        <v>12385.03</v>
      </c>
      <c r="H132" t="s">
        <v>12</v>
      </c>
      <c r="I132">
        <f>Table1[[#This Row],[Qty]]*Table1[[#This Row],[Unit_Price]]</f>
        <v>37155.090000000004</v>
      </c>
    </row>
    <row r="133" spans="1:9" x14ac:dyDescent="0.25">
      <c r="A133">
        <v>10132</v>
      </c>
      <c r="B133" s="1">
        <v>45746</v>
      </c>
      <c r="C133" t="s">
        <v>16</v>
      </c>
      <c r="D133" t="s">
        <v>10</v>
      </c>
      <c r="E133" t="s">
        <v>11</v>
      </c>
      <c r="F133">
        <v>2</v>
      </c>
      <c r="G133">
        <v>450.27</v>
      </c>
      <c r="H133" t="s">
        <v>28</v>
      </c>
      <c r="I133">
        <f>Table1[[#This Row],[Qty]]*Table1[[#This Row],[Unit_Price]]</f>
        <v>900.54</v>
      </c>
    </row>
    <row r="134" spans="1:9" x14ac:dyDescent="0.25">
      <c r="A134">
        <v>10133</v>
      </c>
      <c r="B134" s="1">
        <v>45807</v>
      </c>
      <c r="C134" t="s">
        <v>26</v>
      </c>
      <c r="D134" t="s">
        <v>30</v>
      </c>
      <c r="E134" t="s">
        <v>11</v>
      </c>
      <c r="F134">
        <v>2</v>
      </c>
      <c r="G134">
        <v>47881.05</v>
      </c>
      <c r="H134" t="s">
        <v>28</v>
      </c>
      <c r="I134">
        <f>Table1[[#This Row],[Qty]]*Table1[[#This Row],[Unit_Price]]</f>
        <v>95762.1</v>
      </c>
    </row>
    <row r="135" spans="1:9" x14ac:dyDescent="0.25">
      <c r="A135">
        <v>10134</v>
      </c>
      <c r="B135" s="1">
        <v>45694</v>
      </c>
      <c r="C135" t="s">
        <v>25</v>
      </c>
      <c r="D135" t="s">
        <v>17</v>
      </c>
      <c r="E135" t="s">
        <v>11</v>
      </c>
      <c r="F135">
        <v>3</v>
      </c>
      <c r="G135">
        <v>12690.79</v>
      </c>
      <c r="H135" t="s">
        <v>12</v>
      </c>
      <c r="I135">
        <f>Table1[[#This Row],[Qty]]*Table1[[#This Row],[Unit_Price]]</f>
        <v>38072.370000000003</v>
      </c>
    </row>
    <row r="136" spans="1:9" x14ac:dyDescent="0.25">
      <c r="A136">
        <v>10135</v>
      </c>
      <c r="B136" s="1">
        <v>45875</v>
      </c>
      <c r="C136" t="s">
        <v>19</v>
      </c>
      <c r="D136" t="s">
        <v>10</v>
      </c>
      <c r="E136" t="s">
        <v>11</v>
      </c>
      <c r="F136">
        <v>5</v>
      </c>
      <c r="G136">
        <v>472.48</v>
      </c>
      <c r="H136" t="s">
        <v>18</v>
      </c>
      <c r="I136">
        <f>Table1[[#This Row],[Qty]]*Table1[[#This Row],[Unit_Price]]</f>
        <v>2362.4</v>
      </c>
    </row>
    <row r="137" spans="1:9" x14ac:dyDescent="0.25">
      <c r="A137">
        <v>10136</v>
      </c>
      <c r="B137" s="1">
        <v>45730</v>
      </c>
      <c r="C137" t="s">
        <v>26</v>
      </c>
      <c r="D137" t="s">
        <v>10</v>
      </c>
      <c r="E137" t="s">
        <v>11</v>
      </c>
      <c r="F137">
        <v>1</v>
      </c>
      <c r="G137">
        <v>466.59</v>
      </c>
      <c r="H137" t="s">
        <v>18</v>
      </c>
      <c r="I137">
        <f>Table1[[#This Row],[Qty]]*Table1[[#This Row],[Unit_Price]]</f>
        <v>466.59</v>
      </c>
    </row>
    <row r="138" spans="1:9" x14ac:dyDescent="0.25">
      <c r="A138">
        <v>10137</v>
      </c>
      <c r="B138" s="1">
        <v>45882</v>
      </c>
      <c r="C138" t="s">
        <v>34</v>
      </c>
      <c r="D138" t="s">
        <v>10</v>
      </c>
      <c r="E138" t="s">
        <v>11</v>
      </c>
      <c r="F138">
        <v>4</v>
      </c>
      <c r="G138">
        <v>518.87</v>
      </c>
      <c r="H138" t="s">
        <v>28</v>
      </c>
      <c r="I138">
        <f>Table1[[#This Row],[Qty]]*Table1[[#This Row],[Unit_Price]]</f>
        <v>2075.48</v>
      </c>
    </row>
    <row r="139" spans="1:9" x14ac:dyDescent="0.25">
      <c r="A139">
        <v>10138</v>
      </c>
      <c r="B139" s="1">
        <v>45797</v>
      </c>
      <c r="C139" t="s">
        <v>33</v>
      </c>
      <c r="D139" t="s">
        <v>32</v>
      </c>
      <c r="E139" t="s">
        <v>11</v>
      </c>
      <c r="F139">
        <v>4</v>
      </c>
      <c r="G139">
        <v>2290.2199999999998</v>
      </c>
      <c r="H139" t="s">
        <v>28</v>
      </c>
      <c r="I139">
        <f>Table1[[#This Row],[Qty]]*Table1[[#This Row],[Unit_Price]]</f>
        <v>9160.8799999999992</v>
      </c>
    </row>
    <row r="140" spans="1:9" x14ac:dyDescent="0.25">
      <c r="A140">
        <v>10139</v>
      </c>
      <c r="B140" s="1">
        <v>45823</v>
      </c>
      <c r="C140" t="s">
        <v>25</v>
      </c>
      <c r="D140" t="s">
        <v>23</v>
      </c>
      <c r="E140" t="s">
        <v>24</v>
      </c>
      <c r="F140">
        <v>1</v>
      </c>
      <c r="G140">
        <v>6427.86</v>
      </c>
      <c r="H140" t="s">
        <v>14</v>
      </c>
      <c r="I140">
        <f>Table1[[#This Row],[Qty]]*Table1[[#This Row],[Unit_Price]]</f>
        <v>6427.86</v>
      </c>
    </row>
    <row r="141" spans="1:9" x14ac:dyDescent="0.25">
      <c r="A141">
        <v>10140</v>
      </c>
      <c r="B141" s="1">
        <v>46002</v>
      </c>
      <c r="C141" t="s">
        <v>19</v>
      </c>
      <c r="D141" t="s">
        <v>23</v>
      </c>
      <c r="E141" t="s">
        <v>24</v>
      </c>
      <c r="F141">
        <v>5</v>
      </c>
      <c r="G141">
        <v>6356.32</v>
      </c>
      <c r="H141" t="s">
        <v>28</v>
      </c>
      <c r="I141">
        <f>Table1[[#This Row],[Qty]]*Table1[[#This Row],[Unit_Price]]</f>
        <v>31781.599999999999</v>
      </c>
    </row>
    <row r="142" spans="1:9" x14ac:dyDescent="0.25">
      <c r="A142">
        <v>10141</v>
      </c>
      <c r="B142" s="1">
        <v>45923</v>
      </c>
      <c r="C142" t="s">
        <v>15</v>
      </c>
      <c r="D142" t="s">
        <v>32</v>
      </c>
      <c r="E142" t="s">
        <v>11</v>
      </c>
      <c r="F142">
        <v>3</v>
      </c>
      <c r="G142">
        <v>2340.7399999999998</v>
      </c>
      <c r="H142" t="s">
        <v>28</v>
      </c>
      <c r="I142">
        <f>Table1[[#This Row],[Qty]]*Table1[[#This Row],[Unit_Price]]</f>
        <v>7022.2199999999993</v>
      </c>
    </row>
    <row r="143" spans="1:9" x14ac:dyDescent="0.25">
      <c r="A143">
        <v>10142</v>
      </c>
      <c r="B143" s="1">
        <v>45983</v>
      </c>
      <c r="C143" t="s">
        <v>13</v>
      </c>
      <c r="D143" t="s">
        <v>32</v>
      </c>
      <c r="E143" t="s">
        <v>11</v>
      </c>
      <c r="F143">
        <v>1</v>
      </c>
      <c r="G143">
        <v>2485.0100000000002</v>
      </c>
      <c r="H143" t="s">
        <v>18</v>
      </c>
      <c r="I143">
        <f>Table1[[#This Row],[Qty]]*Table1[[#This Row],[Unit_Price]]</f>
        <v>2485.0100000000002</v>
      </c>
    </row>
    <row r="144" spans="1:9" x14ac:dyDescent="0.25">
      <c r="A144">
        <v>10143</v>
      </c>
      <c r="B144" s="1">
        <v>45822</v>
      </c>
      <c r="C144" t="s">
        <v>34</v>
      </c>
      <c r="D144" t="s">
        <v>10</v>
      </c>
      <c r="E144" t="s">
        <v>11</v>
      </c>
      <c r="F144">
        <v>2</v>
      </c>
      <c r="G144">
        <v>482.98</v>
      </c>
      <c r="H144" t="s">
        <v>28</v>
      </c>
      <c r="I144">
        <f>Table1[[#This Row],[Qty]]*Table1[[#This Row],[Unit_Price]]</f>
        <v>965.96</v>
      </c>
    </row>
    <row r="145" spans="1:9" x14ac:dyDescent="0.25">
      <c r="A145">
        <v>10144</v>
      </c>
      <c r="B145" s="1">
        <v>45805</v>
      </c>
      <c r="C145" t="s">
        <v>29</v>
      </c>
      <c r="D145" t="s">
        <v>31</v>
      </c>
      <c r="E145" t="s">
        <v>11</v>
      </c>
      <c r="F145">
        <v>5</v>
      </c>
      <c r="G145">
        <v>8166.05</v>
      </c>
      <c r="H145" t="s">
        <v>18</v>
      </c>
      <c r="I145">
        <f>Table1[[#This Row],[Qty]]*Table1[[#This Row],[Unit_Price]]</f>
        <v>40830.25</v>
      </c>
    </row>
    <row r="146" spans="1:9" x14ac:dyDescent="0.25">
      <c r="A146">
        <v>10145</v>
      </c>
      <c r="B146" s="1">
        <v>45787</v>
      </c>
      <c r="C146" t="s">
        <v>13</v>
      </c>
      <c r="D146" t="s">
        <v>27</v>
      </c>
      <c r="E146" t="s">
        <v>24</v>
      </c>
      <c r="F146">
        <v>1</v>
      </c>
      <c r="G146">
        <v>13128.44</v>
      </c>
      <c r="H146" t="s">
        <v>14</v>
      </c>
      <c r="I146">
        <f>Table1[[#This Row],[Qty]]*Table1[[#This Row],[Unit_Price]]</f>
        <v>13128.44</v>
      </c>
    </row>
    <row r="147" spans="1:9" x14ac:dyDescent="0.25">
      <c r="A147">
        <v>10146</v>
      </c>
      <c r="B147" s="1">
        <v>45994</v>
      </c>
      <c r="C147" t="s">
        <v>22</v>
      </c>
      <c r="D147" t="s">
        <v>32</v>
      </c>
      <c r="E147" t="s">
        <v>11</v>
      </c>
      <c r="F147">
        <v>4</v>
      </c>
      <c r="G147">
        <v>2277.1</v>
      </c>
      <c r="H147" t="s">
        <v>18</v>
      </c>
      <c r="I147">
        <f>Table1[[#This Row],[Qty]]*Table1[[#This Row],[Unit_Price]]</f>
        <v>9108.4</v>
      </c>
    </row>
    <row r="148" spans="1:9" x14ac:dyDescent="0.25">
      <c r="A148">
        <v>10147</v>
      </c>
      <c r="B148" s="1">
        <v>45976</v>
      </c>
      <c r="C148" t="s">
        <v>9</v>
      </c>
      <c r="D148" t="s">
        <v>32</v>
      </c>
      <c r="E148" t="s">
        <v>11</v>
      </c>
      <c r="F148">
        <v>4</v>
      </c>
      <c r="G148">
        <v>2630</v>
      </c>
      <c r="H148" t="s">
        <v>18</v>
      </c>
      <c r="I148">
        <f>Table1[[#This Row],[Qty]]*Table1[[#This Row],[Unit_Price]]</f>
        <v>10520</v>
      </c>
    </row>
    <row r="149" spans="1:9" x14ac:dyDescent="0.25">
      <c r="A149">
        <v>10148</v>
      </c>
      <c r="B149" s="1">
        <v>45939</v>
      </c>
      <c r="C149" t="s">
        <v>34</v>
      </c>
      <c r="D149" t="s">
        <v>20</v>
      </c>
      <c r="E149" t="s">
        <v>11</v>
      </c>
      <c r="F149">
        <v>3</v>
      </c>
      <c r="G149">
        <v>1481.43</v>
      </c>
      <c r="H149" t="s">
        <v>28</v>
      </c>
      <c r="I149">
        <f>Table1[[#This Row],[Qty]]*Table1[[#This Row],[Unit_Price]]</f>
        <v>4444.29</v>
      </c>
    </row>
    <row r="150" spans="1:9" x14ac:dyDescent="0.25">
      <c r="A150">
        <v>10149</v>
      </c>
      <c r="B150" s="1">
        <v>45720</v>
      </c>
      <c r="C150" t="s">
        <v>34</v>
      </c>
      <c r="D150" t="s">
        <v>30</v>
      </c>
      <c r="E150" t="s">
        <v>11</v>
      </c>
      <c r="F150">
        <v>5</v>
      </c>
      <c r="G150">
        <v>52993.14</v>
      </c>
      <c r="H150" t="s">
        <v>12</v>
      </c>
      <c r="I150">
        <f>Table1[[#This Row],[Qty]]*Table1[[#This Row],[Unit_Price]]</f>
        <v>264965.7</v>
      </c>
    </row>
    <row r="151" spans="1:9" x14ac:dyDescent="0.25">
      <c r="A151">
        <v>10150</v>
      </c>
      <c r="B151" s="1">
        <v>45817</v>
      </c>
      <c r="C151" t="s">
        <v>9</v>
      </c>
      <c r="D151" t="s">
        <v>30</v>
      </c>
      <c r="E151" t="s">
        <v>11</v>
      </c>
      <c r="F151">
        <v>5</v>
      </c>
      <c r="G151">
        <v>49079.91</v>
      </c>
      <c r="H151" t="s">
        <v>14</v>
      </c>
      <c r="I151">
        <f>Table1[[#This Row],[Qty]]*Table1[[#This Row],[Unit_Price]]</f>
        <v>245399.55000000002</v>
      </c>
    </row>
    <row r="152" spans="1:9" x14ac:dyDescent="0.25">
      <c r="A152">
        <v>10151</v>
      </c>
      <c r="B152" s="1">
        <v>45894</v>
      </c>
      <c r="C152" t="s">
        <v>34</v>
      </c>
      <c r="D152" t="s">
        <v>10</v>
      </c>
      <c r="E152" t="s">
        <v>11</v>
      </c>
      <c r="F152">
        <v>2</v>
      </c>
      <c r="G152">
        <v>499.84</v>
      </c>
      <c r="H152" t="s">
        <v>18</v>
      </c>
      <c r="I152">
        <f>Table1[[#This Row],[Qty]]*Table1[[#This Row],[Unit_Price]]</f>
        <v>999.68</v>
      </c>
    </row>
    <row r="153" spans="1:9" x14ac:dyDescent="0.25">
      <c r="A153">
        <v>10152</v>
      </c>
      <c r="B153" s="1">
        <v>45918</v>
      </c>
      <c r="C153" t="s">
        <v>16</v>
      </c>
      <c r="D153" t="s">
        <v>23</v>
      </c>
      <c r="E153" t="s">
        <v>24</v>
      </c>
      <c r="F153">
        <v>4</v>
      </c>
      <c r="G153">
        <v>7468.61</v>
      </c>
      <c r="H153" t="s">
        <v>12</v>
      </c>
      <c r="I153">
        <f>Table1[[#This Row],[Qty]]*Table1[[#This Row],[Unit_Price]]</f>
        <v>29874.44</v>
      </c>
    </row>
    <row r="154" spans="1:9" x14ac:dyDescent="0.25">
      <c r="A154">
        <v>10153</v>
      </c>
      <c r="B154" s="1">
        <v>45891</v>
      </c>
      <c r="C154" t="s">
        <v>15</v>
      </c>
      <c r="D154" t="s">
        <v>20</v>
      </c>
      <c r="E154" t="s">
        <v>11</v>
      </c>
      <c r="F154">
        <v>4</v>
      </c>
      <c r="G154">
        <v>1407.18</v>
      </c>
      <c r="H154" t="s">
        <v>12</v>
      </c>
      <c r="I154">
        <f>Table1[[#This Row],[Qty]]*Table1[[#This Row],[Unit_Price]]</f>
        <v>5628.72</v>
      </c>
    </row>
    <row r="155" spans="1:9" x14ac:dyDescent="0.25">
      <c r="A155">
        <v>10154</v>
      </c>
      <c r="B155" s="1">
        <v>45693</v>
      </c>
      <c r="C155" t="s">
        <v>22</v>
      </c>
      <c r="D155" t="s">
        <v>23</v>
      </c>
      <c r="E155" t="s">
        <v>24</v>
      </c>
      <c r="F155">
        <v>4</v>
      </c>
      <c r="G155">
        <v>6775.83</v>
      </c>
      <c r="H155" t="s">
        <v>18</v>
      </c>
      <c r="I155">
        <f>Table1[[#This Row],[Qty]]*Table1[[#This Row],[Unit_Price]]</f>
        <v>27103.32</v>
      </c>
    </row>
    <row r="156" spans="1:9" x14ac:dyDescent="0.25">
      <c r="A156">
        <v>10155</v>
      </c>
      <c r="B156" s="1">
        <v>45659</v>
      </c>
      <c r="C156" t="s">
        <v>15</v>
      </c>
      <c r="D156" t="s">
        <v>23</v>
      </c>
      <c r="E156" t="s">
        <v>24</v>
      </c>
      <c r="F156">
        <v>3</v>
      </c>
      <c r="G156">
        <v>7472.47</v>
      </c>
      <c r="H156" t="s">
        <v>28</v>
      </c>
      <c r="I156">
        <f>Table1[[#This Row],[Qty]]*Table1[[#This Row],[Unit_Price]]</f>
        <v>22417.41</v>
      </c>
    </row>
    <row r="157" spans="1:9" x14ac:dyDescent="0.25">
      <c r="A157">
        <v>10156</v>
      </c>
      <c r="B157" s="1">
        <v>45734</v>
      </c>
      <c r="C157" t="s">
        <v>21</v>
      </c>
      <c r="D157" t="s">
        <v>32</v>
      </c>
      <c r="E157" t="s">
        <v>11</v>
      </c>
      <c r="F157">
        <v>5</v>
      </c>
      <c r="G157">
        <v>2492.17</v>
      </c>
      <c r="H157" t="s">
        <v>28</v>
      </c>
      <c r="I157">
        <f>Table1[[#This Row],[Qty]]*Table1[[#This Row],[Unit_Price]]</f>
        <v>12460.85</v>
      </c>
    </row>
    <row r="158" spans="1:9" x14ac:dyDescent="0.25">
      <c r="A158">
        <v>10157</v>
      </c>
      <c r="B158" s="1">
        <v>45891</v>
      </c>
      <c r="C158" t="s">
        <v>9</v>
      </c>
      <c r="D158" t="s">
        <v>27</v>
      </c>
      <c r="E158" t="s">
        <v>24</v>
      </c>
      <c r="F158">
        <v>2</v>
      </c>
      <c r="G158">
        <v>13153.86</v>
      </c>
      <c r="H158" t="s">
        <v>28</v>
      </c>
      <c r="I158">
        <f>Table1[[#This Row],[Qty]]*Table1[[#This Row],[Unit_Price]]</f>
        <v>26307.72</v>
      </c>
    </row>
    <row r="159" spans="1:9" x14ac:dyDescent="0.25">
      <c r="A159">
        <v>10158</v>
      </c>
      <c r="B159" s="1">
        <v>45777</v>
      </c>
      <c r="C159" t="s">
        <v>16</v>
      </c>
      <c r="D159" t="s">
        <v>31</v>
      </c>
      <c r="E159" t="s">
        <v>11</v>
      </c>
      <c r="F159">
        <v>1</v>
      </c>
      <c r="G159">
        <v>8672.7199999999993</v>
      </c>
      <c r="H159" t="s">
        <v>28</v>
      </c>
      <c r="I159">
        <f>Table1[[#This Row],[Qty]]*Table1[[#This Row],[Unit_Price]]</f>
        <v>8672.7199999999993</v>
      </c>
    </row>
    <row r="160" spans="1:9" x14ac:dyDescent="0.25">
      <c r="A160">
        <v>10159</v>
      </c>
      <c r="B160" s="1">
        <v>45855</v>
      </c>
      <c r="C160" t="s">
        <v>19</v>
      </c>
      <c r="D160" t="s">
        <v>20</v>
      </c>
      <c r="E160" t="s">
        <v>11</v>
      </c>
      <c r="F160">
        <v>4</v>
      </c>
      <c r="G160">
        <v>1639.45</v>
      </c>
      <c r="H160" t="s">
        <v>18</v>
      </c>
      <c r="I160">
        <f>Table1[[#This Row],[Qty]]*Table1[[#This Row],[Unit_Price]]</f>
        <v>6557.8</v>
      </c>
    </row>
    <row r="161" spans="1:9" x14ac:dyDescent="0.25">
      <c r="A161">
        <v>10160</v>
      </c>
      <c r="B161" s="1">
        <v>45709</v>
      </c>
      <c r="C161" t="s">
        <v>16</v>
      </c>
      <c r="D161" t="s">
        <v>32</v>
      </c>
      <c r="E161" t="s">
        <v>11</v>
      </c>
      <c r="F161">
        <v>1</v>
      </c>
      <c r="G161">
        <v>2512.98</v>
      </c>
      <c r="H161" t="s">
        <v>14</v>
      </c>
      <c r="I161">
        <f>Table1[[#This Row],[Qty]]*Table1[[#This Row],[Unit_Price]]</f>
        <v>2512.98</v>
      </c>
    </row>
    <row r="162" spans="1:9" x14ac:dyDescent="0.25">
      <c r="A162">
        <v>10161</v>
      </c>
      <c r="B162" s="1">
        <v>45731</v>
      </c>
      <c r="C162" t="s">
        <v>26</v>
      </c>
      <c r="D162" t="s">
        <v>31</v>
      </c>
      <c r="E162" t="s">
        <v>11</v>
      </c>
      <c r="F162">
        <v>2</v>
      </c>
      <c r="G162">
        <v>8234.69</v>
      </c>
      <c r="H162" t="s">
        <v>18</v>
      </c>
      <c r="I162">
        <f>Table1[[#This Row],[Qty]]*Table1[[#This Row],[Unit_Price]]</f>
        <v>16469.38</v>
      </c>
    </row>
    <row r="163" spans="1:9" x14ac:dyDescent="0.25">
      <c r="A163">
        <v>10162</v>
      </c>
      <c r="B163" s="1">
        <v>45977</v>
      </c>
      <c r="C163" t="s">
        <v>25</v>
      </c>
      <c r="D163" t="s">
        <v>31</v>
      </c>
      <c r="E163" t="s">
        <v>11</v>
      </c>
      <c r="F163">
        <v>1</v>
      </c>
      <c r="G163">
        <v>9633.18</v>
      </c>
      <c r="H163" t="s">
        <v>28</v>
      </c>
      <c r="I163">
        <f>Table1[[#This Row],[Qty]]*Table1[[#This Row],[Unit_Price]]</f>
        <v>9633.18</v>
      </c>
    </row>
    <row r="164" spans="1:9" x14ac:dyDescent="0.25">
      <c r="A164">
        <v>10163</v>
      </c>
      <c r="B164" s="1">
        <v>45820</v>
      </c>
      <c r="C164" t="s">
        <v>29</v>
      </c>
      <c r="D164" t="s">
        <v>32</v>
      </c>
      <c r="E164" t="s">
        <v>11</v>
      </c>
      <c r="F164">
        <v>5</v>
      </c>
      <c r="G164">
        <v>2267.9499999999998</v>
      </c>
      <c r="H164" t="s">
        <v>12</v>
      </c>
      <c r="I164">
        <f>Table1[[#This Row],[Qty]]*Table1[[#This Row],[Unit_Price]]</f>
        <v>11339.75</v>
      </c>
    </row>
    <row r="165" spans="1:9" x14ac:dyDescent="0.25">
      <c r="A165">
        <v>10164</v>
      </c>
      <c r="B165" s="1">
        <v>45981</v>
      </c>
      <c r="C165" t="s">
        <v>13</v>
      </c>
      <c r="D165" t="s">
        <v>23</v>
      </c>
      <c r="E165" t="s">
        <v>24</v>
      </c>
      <c r="F165">
        <v>2</v>
      </c>
      <c r="G165">
        <v>7345.47</v>
      </c>
      <c r="H165" t="s">
        <v>14</v>
      </c>
      <c r="I165">
        <f>Table1[[#This Row],[Qty]]*Table1[[#This Row],[Unit_Price]]</f>
        <v>14690.94</v>
      </c>
    </row>
    <row r="166" spans="1:9" x14ac:dyDescent="0.25">
      <c r="A166">
        <v>10165</v>
      </c>
      <c r="B166" s="1">
        <v>45982</v>
      </c>
      <c r="C166" t="s">
        <v>26</v>
      </c>
      <c r="D166" t="s">
        <v>10</v>
      </c>
      <c r="E166" t="s">
        <v>11</v>
      </c>
      <c r="F166">
        <v>4</v>
      </c>
      <c r="G166">
        <v>466.64</v>
      </c>
      <c r="H166" t="s">
        <v>14</v>
      </c>
      <c r="I166">
        <f>Table1[[#This Row],[Qty]]*Table1[[#This Row],[Unit_Price]]</f>
        <v>1866.56</v>
      </c>
    </row>
    <row r="167" spans="1:9" x14ac:dyDescent="0.25">
      <c r="A167">
        <v>10166</v>
      </c>
      <c r="B167" s="1">
        <v>45681</v>
      </c>
      <c r="C167" t="s">
        <v>21</v>
      </c>
      <c r="D167" t="s">
        <v>27</v>
      </c>
      <c r="E167" t="s">
        <v>24</v>
      </c>
      <c r="F167">
        <v>1</v>
      </c>
      <c r="G167">
        <v>11504.08</v>
      </c>
      <c r="H167" t="s">
        <v>28</v>
      </c>
      <c r="I167">
        <f>Table1[[#This Row],[Qty]]*Table1[[#This Row],[Unit_Price]]</f>
        <v>11504.08</v>
      </c>
    </row>
    <row r="168" spans="1:9" x14ac:dyDescent="0.25">
      <c r="A168">
        <v>10167</v>
      </c>
      <c r="B168" s="1">
        <v>45732</v>
      </c>
      <c r="C168" t="s">
        <v>25</v>
      </c>
      <c r="D168" t="s">
        <v>17</v>
      </c>
      <c r="E168" t="s">
        <v>11</v>
      </c>
      <c r="F168">
        <v>5</v>
      </c>
      <c r="G168">
        <v>11788.92</v>
      </c>
      <c r="H168" t="s">
        <v>12</v>
      </c>
      <c r="I168">
        <f>Table1[[#This Row],[Qty]]*Table1[[#This Row],[Unit_Price]]</f>
        <v>58944.6</v>
      </c>
    </row>
    <row r="169" spans="1:9" x14ac:dyDescent="0.25">
      <c r="A169">
        <v>10168</v>
      </c>
      <c r="B169" s="1">
        <v>45745</v>
      </c>
      <c r="C169" t="s">
        <v>13</v>
      </c>
      <c r="D169" t="s">
        <v>20</v>
      </c>
      <c r="E169" t="s">
        <v>11</v>
      </c>
      <c r="F169">
        <v>1</v>
      </c>
      <c r="G169">
        <v>1532.85</v>
      </c>
      <c r="H169" t="s">
        <v>12</v>
      </c>
      <c r="I169">
        <f>Table1[[#This Row],[Qty]]*Table1[[#This Row],[Unit_Price]]</f>
        <v>1532.85</v>
      </c>
    </row>
    <row r="170" spans="1:9" x14ac:dyDescent="0.25">
      <c r="A170">
        <v>10169</v>
      </c>
      <c r="B170" s="1">
        <v>45912</v>
      </c>
      <c r="C170" t="s">
        <v>26</v>
      </c>
      <c r="D170" t="s">
        <v>20</v>
      </c>
      <c r="E170" t="s">
        <v>11</v>
      </c>
      <c r="F170">
        <v>2</v>
      </c>
      <c r="G170">
        <v>1488.34</v>
      </c>
      <c r="H170" t="s">
        <v>28</v>
      </c>
      <c r="I170">
        <f>Table1[[#This Row],[Qty]]*Table1[[#This Row],[Unit_Price]]</f>
        <v>2976.68</v>
      </c>
    </row>
    <row r="171" spans="1:9" x14ac:dyDescent="0.25">
      <c r="A171">
        <v>10170</v>
      </c>
      <c r="B171" s="1">
        <v>45788</v>
      </c>
      <c r="C171" t="s">
        <v>25</v>
      </c>
      <c r="D171" t="s">
        <v>30</v>
      </c>
      <c r="E171" t="s">
        <v>11</v>
      </c>
      <c r="F171">
        <v>4</v>
      </c>
      <c r="G171">
        <v>54012.09</v>
      </c>
      <c r="H171" t="s">
        <v>12</v>
      </c>
      <c r="I171">
        <f>Table1[[#This Row],[Qty]]*Table1[[#This Row],[Unit_Price]]</f>
        <v>216048.36</v>
      </c>
    </row>
    <row r="172" spans="1:9" x14ac:dyDescent="0.25">
      <c r="A172">
        <v>10171</v>
      </c>
      <c r="B172" s="1">
        <v>45695</v>
      </c>
      <c r="C172" t="s">
        <v>26</v>
      </c>
      <c r="D172" t="s">
        <v>32</v>
      </c>
      <c r="E172" t="s">
        <v>11</v>
      </c>
      <c r="F172">
        <v>3</v>
      </c>
      <c r="G172">
        <v>2743.83</v>
      </c>
      <c r="H172" t="s">
        <v>28</v>
      </c>
      <c r="I172">
        <f>Table1[[#This Row],[Qty]]*Table1[[#This Row],[Unit_Price]]</f>
        <v>8231.49</v>
      </c>
    </row>
    <row r="173" spans="1:9" x14ac:dyDescent="0.25">
      <c r="A173">
        <v>10172</v>
      </c>
      <c r="B173" s="1">
        <v>46011</v>
      </c>
      <c r="C173" t="s">
        <v>9</v>
      </c>
      <c r="D173" t="s">
        <v>23</v>
      </c>
      <c r="E173" t="s">
        <v>24</v>
      </c>
      <c r="F173">
        <v>4</v>
      </c>
      <c r="G173">
        <v>7483.43</v>
      </c>
      <c r="H173" t="s">
        <v>28</v>
      </c>
      <c r="I173">
        <f>Table1[[#This Row],[Qty]]*Table1[[#This Row],[Unit_Price]]</f>
        <v>29933.72</v>
      </c>
    </row>
    <row r="174" spans="1:9" x14ac:dyDescent="0.25">
      <c r="A174">
        <v>10173</v>
      </c>
      <c r="B174" s="1">
        <v>45905</v>
      </c>
      <c r="C174" t="s">
        <v>21</v>
      </c>
      <c r="D174" t="s">
        <v>10</v>
      </c>
      <c r="E174" t="s">
        <v>11</v>
      </c>
      <c r="F174">
        <v>2</v>
      </c>
      <c r="G174">
        <v>488.14</v>
      </c>
      <c r="H174" t="s">
        <v>18</v>
      </c>
      <c r="I174">
        <f>Table1[[#This Row],[Qty]]*Table1[[#This Row],[Unit_Price]]</f>
        <v>976.28</v>
      </c>
    </row>
    <row r="175" spans="1:9" x14ac:dyDescent="0.25">
      <c r="A175">
        <v>10174</v>
      </c>
      <c r="B175" s="1">
        <v>46016</v>
      </c>
      <c r="C175" t="s">
        <v>25</v>
      </c>
      <c r="D175" t="s">
        <v>23</v>
      </c>
      <c r="E175" t="s">
        <v>24</v>
      </c>
      <c r="F175">
        <v>1</v>
      </c>
      <c r="G175">
        <v>7669.12</v>
      </c>
      <c r="H175" t="s">
        <v>28</v>
      </c>
      <c r="I175">
        <f>Table1[[#This Row],[Qty]]*Table1[[#This Row],[Unit_Price]]</f>
        <v>7669.12</v>
      </c>
    </row>
    <row r="176" spans="1:9" x14ac:dyDescent="0.25">
      <c r="A176">
        <v>10175</v>
      </c>
      <c r="B176" s="1">
        <v>45798</v>
      </c>
      <c r="C176" t="s">
        <v>34</v>
      </c>
      <c r="D176" t="s">
        <v>30</v>
      </c>
      <c r="E176" t="s">
        <v>11</v>
      </c>
      <c r="F176">
        <v>5</v>
      </c>
      <c r="G176">
        <v>53650.67</v>
      </c>
      <c r="H176" t="s">
        <v>14</v>
      </c>
      <c r="I176">
        <f>Table1[[#This Row],[Qty]]*Table1[[#This Row],[Unit_Price]]</f>
        <v>268253.34999999998</v>
      </c>
    </row>
    <row r="177" spans="1:9" x14ac:dyDescent="0.25">
      <c r="A177">
        <v>10176</v>
      </c>
      <c r="B177" s="1">
        <v>45968</v>
      </c>
      <c r="C177" t="s">
        <v>9</v>
      </c>
      <c r="D177" t="s">
        <v>32</v>
      </c>
      <c r="E177" t="s">
        <v>11</v>
      </c>
      <c r="F177">
        <v>3</v>
      </c>
      <c r="G177">
        <v>2637.87</v>
      </c>
      <c r="H177" t="s">
        <v>18</v>
      </c>
      <c r="I177">
        <f>Table1[[#This Row],[Qty]]*Table1[[#This Row],[Unit_Price]]</f>
        <v>7913.61</v>
      </c>
    </row>
    <row r="178" spans="1:9" x14ac:dyDescent="0.25">
      <c r="A178">
        <v>10177</v>
      </c>
      <c r="B178" s="1">
        <v>45770</v>
      </c>
      <c r="C178" t="s">
        <v>34</v>
      </c>
      <c r="D178" t="s">
        <v>17</v>
      </c>
      <c r="E178" t="s">
        <v>11</v>
      </c>
      <c r="F178">
        <v>5</v>
      </c>
      <c r="G178">
        <v>11401.5</v>
      </c>
      <c r="H178" t="s">
        <v>12</v>
      </c>
      <c r="I178">
        <f>Table1[[#This Row],[Qty]]*Table1[[#This Row],[Unit_Price]]</f>
        <v>57007.5</v>
      </c>
    </row>
    <row r="179" spans="1:9" x14ac:dyDescent="0.25">
      <c r="A179">
        <v>10178</v>
      </c>
      <c r="B179" s="1">
        <v>45979</v>
      </c>
      <c r="C179" t="s">
        <v>16</v>
      </c>
      <c r="D179" t="s">
        <v>10</v>
      </c>
      <c r="E179" t="s">
        <v>11</v>
      </c>
      <c r="F179">
        <v>1</v>
      </c>
      <c r="G179">
        <v>480.89</v>
      </c>
      <c r="H179" t="s">
        <v>14</v>
      </c>
      <c r="I179">
        <f>Table1[[#This Row],[Qty]]*Table1[[#This Row],[Unit_Price]]</f>
        <v>480.89</v>
      </c>
    </row>
    <row r="180" spans="1:9" x14ac:dyDescent="0.25">
      <c r="A180">
        <v>10179</v>
      </c>
      <c r="B180" s="1">
        <v>45954</v>
      </c>
      <c r="C180" t="s">
        <v>26</v>
      </c>
      <c r="D180" t="s">
        <v>27</v>
      </c>
      <c r="E180" t="s">
        <v>24</v>
      </c>
      <c r="F180">
        <v>2</v>
      </c>
      <c r="G180">
        <v>11016.32</v>
      </c>
      <c r="H180" t="s">
        <v>18</v>
      </c>
      <c r="I180">
        <f>Table1[[#This Row],[Qty]]*Table1[[#This Row],[Unit_Price]]</f>
        <v>22032.639999999999</v>
      </c>
    </row>
    <row r="181" spans="1:9" x14ac:dyDescent="0.25">
      <c r="A181">
        <v>10180</v>
      </c>
      <c r="B181" s="1">
        <v>45870</v>
      </c>
      <c r="C181" t="s">
        <v>22</v>
      </c>
      <c r="D181" t="s">
        <v>20</v>
      </c>
      <c r="E181" t="s">
        <v>11</v>
      </c>
      <c r="F181">
        <v>2</v>
      </c>
      <c r="G181">
        <v>1389.65</v>
      </c>
      <c r="H181" t="s">
        <v>18</v>
      </c>
      <c r="I181">
        <f>Table1[[#This Row],[Qty]]*Table1[[#This Row],[Unit_Price]]</f>
        <v>2779.3</v>
      </c>
    </row>
    <row r="182" spans="1:9" x14ac:dyDescent="0.25">
      <c r="A182">
        <v>10181</v>
      </c>
      <c r="B182" s="1">
        <v>45929</v>
      </c>
      <c r="C182" t="s">
        <v>16</v>
      </c>
      <c r="D182" t="s">
        <v>23</v>
      </c>
      <c r="E182" t="s">
        <v>24</v>
      </c>
      <c r="F182">
        <v>2</v>
      </c>
      <c r="G182">
        <v>6659.76</v>
      </c>
      <c r="H182" t="s">
        <v>18</v>
      </c>
      <c r="I182">
        <f>Table1[[#This Row],[Qty]]*Table1[[#This Row],[Unit_Price]]</f>
        <v>13319.52</v>
      </c>
    </row>
    <row r="183" spans="1:9" x14ac:dyDescent="0.25">
      <c r="A183">
        <v>10182</v>
      </c>
      <c r="B183" s="1">
        <v>45831</v>
      </c>
      <c r="C183" t="s">
        <v>19</v>
      </c>
      <c r="D183" t="s">
        <v>10</v>
      </c>
      <c r="E183" t="s">
        <v>11</v>
      </c>
      <c r="F183">
        <v>4</v>
      </c>
      <c r="G183">
        <v>546.29</v>
      </c>
      <c r="H183" t="s">
        <v>12</v>
      </c>
      <c r="I183">
        <f>Table1[[#This Row],[Qty]]*Table1[[#This Row],[Unit_Price]]</f>
        <v>2185.16</v>
      </c>
    </row>
    <row r="184" spans="1:9" x14ac:dyDescent="0.25">
      <c r="A184">
        <v>10183</v>
      </c>
      <c r="B184" s="1">
        <v>46004</v>
      </c>
      <c r="C184" t="s">
        <v>13</v>
      </c>
      <c r="D184" t="s">
        <v>31</v>
      </c>
      <c r="E184" t="s">
        <v>11</v>
      </c>
      <c r="F184">
        <v>5</v>
      </c>
      <c r="G184">
        <v>8758.4</v>
      </c>
      <c r="H184" t="s">
        <v>14</v>
      </c>
      <c r="I184">
        <f>Table1[[#This Row],[Qty]]*Table1[[#This Row],[Unit_Price]]</f>
        <v>43792</v>
      </c>
    </row>
    <row r="185" spans="1:9" x14ac:dyDescent="0.25">
      <c r="A185">
        <v>10184</v>
      </c>
      <c r="B185" s="1">
        <v>45793</v>
      </c>
      <c r="C185" t="s">
        <v>34</v>
      </c>
      <c r="D185" t="s">
        <v>10</v>
      </c>
      <c r="E185" t="s">
        <v>11</v>
      </c>
      <c r="F185">
        <v>4</v>
      </c>
      <c r="G185">
        <v>486.86</v>
      </c>
      <c r="H185" t="s">
        <v>18</v>
      </c>
      <c r="I185">
        <f>Table1[[#This Row],[Qty]]*Table1[[#This Row],[Unit_Price]]</f>
        <v>1947.44</v>
      </c>
    </row>
    <row r="186" spans="1:9" x14ac:dyDescent="0.25">
      <c r="A186">
        <v>10185</v>
      </c>
      <c r="B186" s="1">
        <v>45957</v>
      </c>
      <c r="C186" t="s">
        <v>9</v>
      </c>
      <c r="D186" t="s">
        <v>31</v>
      </c>
      <c r="E186" t="s">
        <v>11</v>
      </c>
      <c r="F186">
        <v>3</v>
      </c>
      <c r="G186">
        <v>8295.02</v>
      </c>
      <c r="H186" t="s">
        <v>28</v>
      </c>
      <c r="I186">
        <f>Table1[[#This Row],[Qty]]*Table1[[#This Row],[Unit_Price]]</f>
        <v>24885.06</v>
      </c>
    </row>
    <row r="187" spans="1:9" x14ac:dyDescent="0.25">
      <c r="A187">
        <v>10186</v>
      </c>
      <c r="B187" s="1">
        <v>45670</v>
      </c>
      <c r="C187" t="s">
        <v>29</v>
      </c>
      <c r="D187" t="s">
        <v>27</v>
      </c>
      <c r="E187" t="s">
        <v>24</v>
      </c>
      <c r="F187">
        <v>5</v>
      </c>
      <c r="G187">
        <v>11331.28</v>
      </c>
      <c r="H187" t="s">
        <v>28</v>
      </c>
      <c r="I187">
        <f>Table1[[#This Row],[Qty]]*Table1[[#This Row],[Unit_Price]]</f>
        <v>56656.4</v>
      </c>
    </row>
    <row r="188" spans="1:9" x14ac:dyDescent="0.25">
      <c r="A188">
        <v>10187</v>
      </c>
      <c r="B188" s="1">
        <v>46016</v>
      </c>
      <c r="C188" t="s">
        <v>33</v>
      </c>
      <c r="D188" t="s">
        <v>23</v>
      </c>
      <c r="E188" t="s">
        <v>24</v>
      </c>
      <c r="F188">
        <v>4</v>
      </c>
      <c r="G188">
        <v>6463.35</v>
      </c>
      <c r="H188" t="s">
        <v>14</v>
      </c>
      <c r="I188">
        <f>Table1[[#This Row],[Qty]]*Table1[[#This Row],[Unit_Price]]</f>
        <v>25853.4</v>
      </c>
    </row>
    <row r="189" spans="1:9" x14ac:dyDescent="0.25">
      <c r="A189">
        <v>10188</v>
      </c>
      <c r="B189" s="1">
        <v>45813</v>
      </c>
      <c r="C189" t="s">
        <v>22</v>
      </c>
      <c r="D189" t="s">
        <v>32</v>
      </c>
      <c r="E189" t="s">
        <v>11</v>
      </c>
      <c r="F189">
        <v>1</v>
      </c>
      <c r="G189">
        <v>2298.6</v>
      </c>
      <c r="H189" t="s">
        <v>12</v>
      </c>
      <c r="I189">
        <f>Table1[[#This Row],[Qty]]*Table1[[#This Row],[Unit_Price]]</f>
        <v>2298.6</v>
      </c>
    </row>
    <row r="190" spans="1:9" x14ac:dyDescent="0.25">
      <c r="A190">
        <v>10189</v>
      </c>
      <c r="B190" s="1">
        <v>45856</v>
      </c>
      <c r="C190" t="s">
        <v>34</v>
      </c>
      <c r="D190" t="s">
        <v>32</v>
      </c>
      <c r="E190" t="s">
        <v>11</v>
      </c>
      <c r="F190">
        <v>3</v>
      </c>
      <c r="G190">
        <v>2585.2399999999998</v>
      </c>
      <c r="H190" t="s">
        <v>28</v>
      </c>
      <c r="I190">
        <f>Table1[[#This Row],[Qty]]*Table1[[#This Row],[Unit_Price]]</f>
        <v>7755.7199999999993</v>
      </c>
    </row>
    <row r="191" spans="1:9" x14ac:dyDescent="0.25">
      <c r="A191">
        <v>10190</v>
      </c>
      <c r="B191" s="1">
        <v>45958</v>
      </c>
      <c r="C191" t="s">
        <v>16</v>
      </c>
      <c r="D191" t="s">
        <v>20</v>
      </c>
      <c r="E191" t="s">
        <v>11</v>
      </c>
      <c r="F191">
        <v>4</v>
      </c>
      <c r="G191">
        <v>1546.48</v>
      </c>
      <c r="H191" t="s">
        <v>28</v>
      </c>
      <c r="I191">
        <f>Table1[[#This Row],[Qty]]*Table1[[#This Row],[Unit_Price]]</f>
        <v>6185.92</v>
      </c>
    </row>
    <row r="192" spans="1:9" x14ac:dyDescent="0.25">
      <c r="A192">
        <v>10191</v>
      </c>
      <c r="B192" s="1">
        <v>45801</v>
      </c>
      <c r="C192" t="s">
        <v>16</v>
      </c>
      <c r="D192" t="s">
        <v>30</v>
      </c>
      <c r="E192" t="s">
        <v>11</v>
      </c>
      <c r="F192">
        <v>3</v>
      </c>
      <c r="G192">
        <v>47172.7</v>
      </c>
      <c r="H192" t="s">
        <v>12</v>
      </c>
      <c r="I192">
        <f>Table1[[#This Row],[Qty]]*Table1[[#This Row],[Unit_Price]]</f>
        <v>141518.09999999998</v>
      </c>
    </row>
    <row r="193" spans="1:9" x14ac:dyDescent="0.25">
      <c r="A193">
        <v>10192</v>
      </c>
      <c r="B193" s="1">
        <v>45843</v>
      </c>
      <c r="C193" t="s">
        <v>25</v>
      </c>
      <c r="D193" t="s">
        <v>10</v>
      </c>
      <c r="E193" t="s">
        <v>11</v>
      </c>
      <c r="F193">
        <v>3</v>
      </c>
      <c r="G193">
        <v>504.45</v>
      </c>
      <c r="H193" t="s">
        <v>18</v>
      </c>
      <c r="I193">
        <f>Table1[[#This Row],[Qty]]*Table1[[#This Row],[Unit_Price]]</f>
        <v>1513.35</v>
      </c>
    </row>
    <row r="194" spans="1:9" x14ac:dyDescent="0.25">
      <c r="A194">
        <v>10193</v>
      </c>
      <c r="B194" s="1">
        <v>45689</v>
      </c>
      <c r="C194" t="s">
        <v>29</v>
      </c>
      <c r="D194" t="s">
        <v>31</v>
      </c>
      <c r="E194" t="s">
        <v>11</v>
      </c>
      <c r="F194">
        <v>3</v>
      </c>
      <c r="G194">
        <v>8441.66</v>
      </c>
      <c r="H194" t="s">
        <v>28</v>
      </c>
      <c r="I194">
        <f>Table1[[#This Row],[Qty]]*Table1[[#This Row],[Unit_Price]]</f>
        <v>25324.98</v>
      </c>
    </row>
    <row r="195" spans="1:9" x14ac:dyDescent="0.25">
      <c r="A195">
        <v>10194</v>
      </c>
      <c r="B195" s="1">
        <v>45704</v>
      </c>
      <c r="C195" t="s">
        <v>33</v>
      </c>
      <c r="D195" t="s">
        <v>17</v>
      </c>
      <c r="E195" t="s">
        <v>11</v>
      </c>
      <c r="F195">
        <v>5</v>
      </c>
      <c r="G195">
        <v>13130.62</v>
      </c>
      <c r="H195" t="s">
        <v>18</v>
      </c>
      <c r="I195">
        <f>Table1[[#This Row],[Qty]]*Table1[[#This Row],[Unit_Price]]</f>
        <v>65653.100000000006</v>
      </c>
    </row>
    <row r="196" spans="1:9" x14ac:dyDescent="0.25">
      <c r="A196">
        <v>10195</v>
      </c>
      <c r="B196" s="1">
        <v>45782</v>
      </c>
      <c r="C196" t="s">
        <v>22</v>
      </c>
      <c r="D196" t="s">
        <v>20</v>
      </c>
      <c r="E196" t="s">
        <v>11</v>
      </c>
      <c r="F196">
        <v>5</v>
      </c>
      <c r="G196">
        <v>1411.56</v>
      </c>
      <c r="H196" t="s">
        <v>12</v>
      </c>
      <c r="I196">
        <f>Table1[[#This Row],[Qty]]*Table1[[#This Row],[Unit_Price]]</f>
        <v>7057.7999999999993</v>
      </c>
    </row>
    <row r="197" spans="1:9" x14ac:dyDescent="0.25">
      <c r="A197">
        <v>10196</v>
      </c>
      <c r="B197" s="1">
        <v>45958</v>
      </c>
      <c r="C197" t="s">
        <v>19</v>
      </c>
      <c r="D197" t="s">
        <v>17</v>
      </c>
      <c r="E197" t="s">
        <v>11</v>
      </c>
      <c r="F197">
        <v>2</v>
      </c>
      <c r="G197">
        <v>11588.54</v>
      </c>
      <c r="H197" t="s">
        <v>14</v>
      </c>
      <c r="I197">
        <f>Table1[[#This Row],[Qty]]*Table1[[#This Row],[Unit_Price]]</f>
        <v>23177.08</v>
      </c>
    </row>
    <row r="198" spans="1:9" x14ac:dyDescent="0.25">
      <c r="A198">
        <v>10197</v>
      </c>
      <c r="B198" s="1">
        <v>45799</v>
      </c>
      <c r="C198" t="s">
        <v>19</v>
      </c>
      <c r="D198" t="s">
        <v>20</v>
      </c>
      <c r="E198" t="s">
        <v>11</v>
      </c>
      <c r="F198">
        <v>2</v>
      </c>
      <c r="G198">
        <v>1512.06</v>
      </c>
      <c r="H198" t="s">
        <v>14</v>
      </c>
      <c r="I198">
        <f>Table1[[#This Row],[Qty]]*Table1[[#This Row],[Unit_Price]]</f>
        <v>3024.12</v>
      </c>
    </row>
    <row r="199" spans="1:9" x14ac:dyDescent="0.25">
      <c r="A199">
        <v>10198</v>
      </c>
      <c r="B199" s="1">
        <v>45996</v>
      </c>
      <c r="C199" t="s">
        <v>9</v>
      </c>
      <c r="D199" t="s">
        <v>30</v>
      </c>
      <c r="E199" t="s">
        <v>11</v>
      </c>
      <c r="F199">
        <v>2</v>
      </c>
      <c r="G199">
        <v>45148.6</v>
      </c>
      <c r="H199" t="s">
        <v>18</v>
      </c>
      <c r="I199">
        <f>Table1[[#This Row],[Qty]]*Table1[[#This Row],[Unit_Price]]</f>
        <v>90297.2</v>
      </c>
    </row>
    <row r="200" spans="1:9" x14ac:dyDescent="0.25">
      <c r="A200">
        <v>10199</v>
      </c>
      <c r="B200" s="1">
        <v>45666</v>
      </c>
      <c r="C200" t="s">
        <v>34</v>
      </c>
      <c r="D200" t="s">
        <v>20</v>
      </c>
      <c r="E200" t="s">
        <v>11</v>
      </c>
      <c r="F200">
        <v>3</v>
      </c>
      <c r="G200">
        <v>1365.72</v>
      </c>
      <c r="H200" t="s">
        <v>28</v>
      </c>
      <c r="I200">
        <f>Table1[[#This Row],[Qty]]*Table1[[#This Row],[Unit_Price]]</f>
        <v>4097.16</v>
      </c>
    </row>
    <row r="201" spans="1:9" x14ac:dyDescent="0.25">
      <c r="A201">
        <v>10200</v>
      </c>
      <c r="B201" s="1">
        <v>45927</v>
      </c>
      <c r="C201" t="s">
        <v>21</v>
      </c>
      <c r="D201" t="s">
        <v>10</v>
      </c>
      <c r="E201" t="s">
        <v>11</v>
      </c>
      <c r="F201">
        <v>1</v>
      </c>
      <c r="G201">
        <v>497.62</v>
      </c>
      <c r="H201" t="s">
        <v>14</v>
      </c>
      <c r="I201">
        <f>Table1[[#This Row],[Qty]]*Table1[[#This Row],[Unit_Price]]</f>
        <v>497.62</v>
      </c>
    </row>
    <row r="202" spans="1:9" x14ac:dyDescent="0.25">
      <c r="A202">
        <v>10201</v>
      </c>
      <c r="B202" s="1">
        <v>45889</v>
      </c>
      <c r="C202" t="s">
        <v>25</v>
      </c>
      <c r="D202" t="s">
        <v>17</v>
      </c>
      <c r="E202" t="s">
        <v>11</v>
      </c>
      <c r="F202">
        <v>5</v>
      </c>
      <c r="G202">
        <v>10904.08</v>
      </c>
      <c r="H202" t="s">
        <v>18</v>
      </c>
      <c r="I202">
        <f>Table1[[#This Row],[Qty]]*Table1[[#This Row],[Unit_Price]]</f>
        <v>54520.4</v>
      </c>
    </row>
    <row r="203" spans="1:9" x14ac:dyDescent="0.25">
      <c r="A203">
        <v>10202</v>
      </c>
      <c r="B203" s="1">
        <v>45892</v>
      </c>
      <c r="C203" t="s">
        <v>13</v>
      </c>
      <c r="D203" t="s">
        <v>30</v>
      </c>
      <c r="E203" t="s">
        <v>11</v>
      </c>
      <c r="F203">
        <v>1</v>
      </c>
      <c r="G203">
        <v>54985.87</v>
      </c>
      <c r="H203" t="s">
        <v>28</v>
      </c>
      <c r="I203">
        <f>Table1[[#This Row],[Qty]]*Table1[[#This Row],[Unit_Price]]</f>
        <v>54985.87</v>
      </c>
    </row>
    <row r="204" spans="1:9" x14ac:dyDescent="0.25">
      <c r="A204">
        <v>10203</v>
      </c>
      <c r="B204" s="1">
        <v>46009</v>
      </c>
      <c r="C204" t="s">
        <v>16</v>
      </c>
      <c r="D204" t="s">
        <v>10</v>
      </c>
      <c r="E204" t="s">
        <v>11</v>
      </c>
      <c r="F204">
        <v>4</v>
      </c>
      <c r="G204">
        <v>521.24</v>
      </c>
      <c r="H204" t="s">
        <v>14</v>
      </c>
      <c r="I204">
        <f>Table1[[#This Row],[Qty]]*Table1[[#This Row],[Unit_Price]]</f>
        <v>2084.96</v>
      </c>
    </row>
    <row r="205" spans="1:9" x14ac:dyDescent="0.25">
      <c r="A205">
        <v>10204</v>
      </c>
      <c r="B205" s="1">
        <v>45699</v>
      </c>
      <c r="C205" t="s">
        <v>19</v>
      </c>
      <c r="D205" t="s">
        <v>27</v>
      </c>
      <c r="E205" t="s">
        <v>24</v>
      </c>
      <c r="F205">
        <v>5</v>
      </c>
      <c r="G205">
        <v>11156</v>
      </c>
      <c r="H205" t="s">
        <v>18</v>
      </c>
      <c r="I205">
        <f>Table1[[#This Row],[Qty]]*Table1[[#This Row],[Unit_Price]]</f>
        <v>55780</v>
      </c>
    </row>
    <row r="206" spans="1:9" x14ac:dyDescent="0.25">
      <c r="A206">
        <v>10205</v>
      </c>
      <c r="B206" s="1">
        <v>45977</v>
      </c>
      <c r="C206" t="s">
        <v>22</v>
      </c>
      <c r="D206" t="s">
        <v>27</v>
      </c>
      <c r="E206" t="s">
        <v>24</v>
      </c>
      <c r="F206">
        <v>4</v>
      </c>
      <c r="G206">
        <v>13187.11</v>
      </c>
      <c r="H206" t="s">
        <v>18</v>
      </c>
      <c r="I206">
        <f>Table1[[#This Row],[Qty]]*Table1[[#This Row],[Unit_Price]]</f>
        <v>52748.44</v>
      </c>
    </row>
    <row r="207" spans="1:9" x14ac:dyDescent="0.25">
      <c r="A207">
        <v>10206</v>
      </c>
      <c r="B207" s="1">
        <v>45890</v>
      </c>
      <c r="C207" t="s">
        <v>29</v>
      </c>
      <c r="D207" t="s">
        <v>31</v>
      </c>
      <c r="E207" t="s">
        <v>11</v>
      </c>
      <c r="F207">
        <v>1</v>
      </c>
      <c r="G207">
        <v>9527.57</v>
      </c>
      <c r="H207" t="s">
        <v>12</v>
      </c>
      <c r="I207">
        <f>Table1[[#This Row],[Qty]]*Table1[[#This Row],[Unit_Price]]</f>
        <v>9527.57</v>
      </c>
    </row>
    <row r="208" spans="1:9" x14ac:dyDescent="0.25">
      <c r="A208">
        <v>10207</v>
      </c>
      <c r="B208" s="1">
        <v>45878</v>
      </c>
      <c r="C208" t="s">
        <v>16</v>
      </c>
      <c r="D208" t="s">
        <v>32</v>
      </c>
      <c r="E208" t="s">
        <v>11</v>
      </c>
      <c r="F208">
        <v>2</v>
      </c>
      <c r="G208">
        <v>2456.91</v>
      </c>
      <c r="H208" t="s">
        <v>28</v>
      </c>
      <c r="I208">
        <f>Table1[[#This Row],[Qty]]*Table1[[#This Row],[Unit_Price]]</f>
        <v>4913.82</v>
      </c>
    </row>
    <row r="209" spans="1:9" x14ac:dyDescent="0.25">
      <c r="A209">
        <v>10208</v>
      </c>
      <c r="B209" s="1">
        <v>45870</v>
      </c>
      <c r="C209" t="s">
        <v>25</v>
      </c>
      <c r="D209" t="s">
        <v>10</v>
      </c>
      <c r="E209" t="s">
        <v>11</v>
      </c>
      <c r="F209">
        <v>3</v>
      </c>
      <c r="G209">
        <v>492.68</v>
      </c>
      <c r="H209" t="s">
        <v>18</v>
      </c>
      <c r="I209">
        <f>Table1[[#This Row],[Qty]]*Table1[[#This Row],[Unit_Price]]</f>
        <v>1478.04</v>
      </c>
    </row>
    <row r="210" spans="1:9" x14ac:dyDescent="0.25">
      <c r="A210">
        <v>10209</v>
      </c>
      <c r="B210" s="1">
        <v>45849</v>
      </c>
      <c r="C210" t="s">
        <v>29</v>
      </c>
      <c r="D210" t="s">
        <v>20</v>
      </c>
      <c r="E210" t="s">
        <v>11</v>
      </c>
      <c r="F210">
        <v>4</v>
      </c>
      <c r="G210">
        <v>1370.14</v>
      </c>
      <c r="H210" t="s">
        <v>14</v>
      </c>
      <c r="I210">
        <f>Table1[[#This Row],[Qty]]*Table1[[#This Row],[Unit_Price]]</f>
        <v>5480.56</v>
      </c>
    </row>
    <row r="211" spans="1:9" x14ac:dyDescent="0.25">
      <c r="A211">
        <v>10210</v>
      </c>
      <c r="B211" s="1">
        <v>45879</v>
      </c>
      <c r="C211" t="s">
        <v>22</v>
      </c>
      <c r="D211" t="s">
        <v>10</v>
      </c>
      <c r="E211" t="s">
        <v>11</v>
      </c>
      <c r="F211">
        <v>3</v>
      </c>
      <c r="G211">
        <v>531.17999999999995</v>
      </c>
      <c r="H211" t="s">
        <v>14</v>
      </c>
      <c r="I211">
        <f>Table1[[#This Row],[Qty]]*Table1[[#This Row],[Unit_Price]]</f>
        <v>1593.54</v>
      </c>
    </row>
    <row r="212" spans="1:9" x14ac:dyDescent="0.25">
      <c r="A212">
        <v>10211</v>
      </c>
      <c r="B212" s="1">
        <v>45958</v>
      </c>
      <c r="C212" t="s">
        <v>25</v>
      </c>
      <c r="D212" t="s">
        <v>27</v>
      </c>
      <c r="E212" t="s">
        <v>24</v>
      </c>
      <c r="F212">
        <v>1</v>
      </c>
      <c r="G212">
        <v>11785.94</v>
      </c>
      <c r="H212" t="s">
        <v>28</v>
      </c>
      <c r="I212">
        <f>Table1[[#This Row],[Qty]]*Table1[[#This Row],[Unit_Price]]</f>
        <v>11785.94</v>
      </c>
    </row>
    <row r="213" spans="1:9" x14ac:dyDescent="0.25">
      <c r="A213">
        <v>10212</v>
      </c>
      <c r="B213" s="1">
        <v>45684</v>
      </c>
      <c r="C213" t="s">
        <v>29</v>
      </c>
      <c r="D213" t="s">
        <v>23</v>
      </c>
      <c r="E213" t="s">
        <v>24</v>
      </c>
      <c r="F213">
        <v>5</v>
      </c>
      <c r="G213">
        <v>6737.43</v>
      </c>
      <c r="H213" t="s">
        <v>12</v>
      </c>
      <c r="I213">
        <f>Table1[[#This Row],[Qty]]*Table1[[#This Row],[Unit_Price]]</f>
        <v>33687.15</v>
      </c>
    </row>
    <row r="214" spans="1:9" x14ac:dyDescent="0.25">
      <c r="A214">
        <v>10213</v>
      </c>
      <c r="B214" s="1">
        <v>45737</v>
      </c>
      <c r="C214" t="s">
        <v>21</v>
      </c>
      <c r="D214" t="s">
        <v>32</v>
      </c>
      <c r="E214" t="s">
        <v>11</v>
      </c>
      <c r="F214">
        <v>2</v>
      </c>
      <c r="G214">
        <v>2673.64</v>
      </c>
      <c r="H214" t="s">
        <v>18</v>
      </c>
      <c r="I214">
        <f>Table1[[#This Row],[Qty]]*Table1[[#This Row],[Unit_Price]]</f>
        <v>5347.28</v>
      </c>
    </row>
    <row r="215" spans="1:9" x14ac:dyDescent="0.25">
      <c r="A215">
        <v>10214</v>
      </c>
      <c r="B215" s="1">
        <v>45716</v>
      </c>
      <c r="C215" t="s">
        <v>13</v>
      </c>
      <c r="D215" t="s">
        <v>23</v>
      </c>
      <c r="E215" t="s">
        <v>24</v>
      </c>
      <c r="F215">
        <v>5</v>
      </c>
      <c r="G215">
        <v>6616.62</v>
      </c>
      <c r="H215" t="s">
        <v>14</v>
      </c>
      <c r="I215">
        <f>Table1[[#This Row],[Qty]]*Table1[[#This Row],[Unit_Price]]</f>
        <v>33083.1</v>
      </c>
    </row>
    <row r="216" spans="1:9" x14ac:dyDescent="0.25">
      <c r="A216">
        <v>10215</v>
      </c>
      <c r="B216" s="1">
        <v>45969</v>
      </c>
      <c r="C216" t="s">
        <v>34</v>
      </c>
      <c r="D216" t="s">
        <v>23</v>
      </c>
      <c r="E216" t="s">
        <v>24</v>
      </c>
      <c r="F216">
        <v>1</v>
      </c>
      <c r="G216">
        <v>6552.58</v>
      </c>
      <c r="H216" t="s">
        <v>18</v>
      </c>
      <c r="I216">
        <f>Table1[[#This Row],[Qty]]*Table1[[#This Row],[Unit_Price]]</f>
        <v>6552.58</v>
      </c>
    </row>
    <row r="217" spans="1:9" x14ac:dyDescent="0.25">
      <c r="A217">
        <v>10216</v>
      </c>
      <c r="B217" s="1">
        <v>45831</v>
      </c>
      <c r="C217" t="s">
        <v>19</v>
      </c>
      <c r="D217" t="s">
        <v>27</v>
      </c>
      <c r="E217" t="s">
        <v>24</v>
      </c>
      <c r="F217">
        <v>1</v>
      </c>
      <c r="G217">
        <v>11235.37</v>
      </c>
      <c r="H217" t="s">
        <v>28</v>
      </c>
      <c r="I217">
        <f>Table1[[#This Row],[Qty]]*Table1[[#This Row],[Unit_Price]]</f>
        <v>11235.37</v>
      </c>
    </row>
    <row r="218" spans="1:9" x14ac:dyDescent="0.25">
      <c r="A218">
        <v>10217</v>
      </c>
      <c r="B218" s="1">
        <v>45693</v>
      </c>
      <c r="C218" t="s">
        <v>22</v>
      </c>
      <c r="D218" t="s">
        <v>20</v>
      </c>
      <c r="E218" t="s">
        <v>11</v>
      </c>
      <c r="F218">
        <v>1</v>
      </c>
      <c r="G218">
        <v>1377.53</v>
      </c>
      <c r="H218" t="s">
        <v>12</v>
      </c>
      <c r="I218">
        <f>Table1[[#This Row],[Qty]]*Table1[[#This Row],[Unit_Price]]</f>
        <v>1377.53</v>
      </c>
    </row>
    <row r="219" spans="1:9" x14ac:dyDescent="0.25">
      <c r="A219">
        <v>10218</v>
      </c>
      <c r="B219" s="1">
        <v>45850</v>
      </c>
      <c r="C219" t="s">
        <v>21</v>
      </c>
      <c r="D219" t="s">
        <v>31</v>
      </c>
      <c r="E219" t="s">
        <v>11</v>
      </c>
      <c r="F219">
        <v>4</v>
      </c>
      <c r="G219">
        <v>8713.61</v>
      </c>
      <c r="H219" t="s">
        <v>18</v>
      </c>
      <c r="I219">
        <f>Table1[[#This Row],[Qty]]*Table1[[#This Row],[Unit_Price]]</f>
        <v>34854.44</v>
      </c>
    </row>
    <row r="220" spans="1:9" x14ac:dyDescent="0.25">
      <c r="A220">
        <v>10219</v>
      </c>
      <c r="B220" s="1">
        <v>45824</v>
      </c>
      <c r="C220" t="s">
        <v>15</v>
      </c>
      <c r="D220" t="s">
        <v>10</v>
      </c>
      <c r="E220" t="s">
        <v>11</v>
      </c>
      <c r="F220">
        <v>1</v>
      </c>
      <c r="G220">
        <v>465.56</v>
      </c>
      <c r="H220" t="s">
        <v>14</v>
      </c>
      <c r="I220">
        <f>Table1[[#This Row],[Qty]]*Table1[[#This Row],[Unit_Price]]</f>
        <v>465.56</v>
      </c>
    </row>
    <row r="221" spans="1:9" x14ac:dyDescent="0.25">
      <c r="A221">
        <v>10220</v>
      </c>
      <c r="B221" s="1">
        <v>46003</v>
      </c>
      <c r="C221" t="s">
        <v>13</v>
      </c>
      <c r="D221" t="s">
        <v>10</v>
      </c>
      <c r="E221" t="s">
        <v>11</v>
      </c>
      <c r="F221">
        <v>3</v>
      </c>
      <c r="G221">
        <v>494.31</v>
      </c>
      <c r="H221" t="s">
        <v>28</v>
      </c>
      <c r="I221">
        <f>Table1[[#This Row],[Qty]]*Table1[[#This Row],[Unit_Price]]</f>
        <v>1482.93</v>
      </c>
    </row>
    <row r="222" spans="1:9" x14ac:dyDescent="0.25">
      <c r="A222">
        <v>10221</v>
      </c>
      <c r="B222" s="1">
        <v>45968</v>
      </c>
      <c r="C222" t="s">
        <v>22</v>
      </c>
      <c r="D222" t="s">
        <v>32</v>
      </c>
      <c r="E222" t="s">
        <v>11</v>
      </c>
      <c r="F222">
        <v>4</v>
      </c>
      <c r="G222">
        <v>2386.58</v>
      </c>
      <c r="H222" t="s">
        <v>14</v>
      </c>
      <c r="I222">
        <f>Table1[[#This Row],[Qty]]*Table1[[#This Row],[Unit_Price]]</f>
        <v>9546.32</v>
      </c>
    </row>
    <row r="223" spans="1:9" x14ac:dyDescent="0.25">
      <c r="A223">
        <v>10222</v>
      </c>
      <c r="B223" s="1">
        <v>45834</v>
      </c>
      <c r="C223" t="s">
        <v>25</v>
      </c>
      <c r="D223" t="s">
        <v>31</v>
      </c>
      <c r="E223" t="s">
        <v>11</v>
      </c>
      <c r="F223">
        <v>1</v>
      </c>
      <c r="G223">
        <v>8609.84</v>
      </c>
      <c r="H223" t="s">
        <v>28</v>
      </c>
      <c r="I223">
        <f>Table1[[#This Row],[Qty]]*Table1[[#This Row],[Unit_Price]]</f>
        <v>8609.84</v>
      </c>
    </row>
    <row r="224" spans="1:9" x14ac:dyDescent="0.25">
      <c r="A224">
        <v>10223</v>
      </c>
      <c r="B224" s="1">
        <v>45927</v>
      </c>
      <c r="C224" t="s">
        <v>15</v>
      </c>
      <c r="D224" t="s">
        <v>23</v>
      </c>
      <c r="E224" t="s">
        <v>24</v>
      </c>
      <c r="F224">
        <v>1</v>
      </c>
      <c r="G224">
        <v>6608.73</v>
      </c>
      <c r="H224" t="s">
        <v>14</v>
      </c>
      <c r="I224">
        <f>Table1[[#This Row],[Qty]]*Table1[[#This Row],[Unit_Price]]</f>
        <v>6608.73</v>
      </c>
    </row>
    <row r="225" spans="1:9" x14ac:dyDescent="0.25">
      <c r="A225">
        <v>10224</v>
      </c>
      <c r="B225" s="1">
        <v>45661</v>
      </c>
      <c r="C225" t="s">
        <v>19</v>
      </c>
      <c r="D225" t="s">
        <v>17</v>
      </c>
      <c r="E225" t="s">
        <v>11</v>
      </c>
      <c r="F225">
        <v>3</v>
      </c>
      <c r="G225">
        <v>13068.78</v>
      </c>
      <c r="H225" t="s">
        <v>18</v>
      </c>
      <c r="I225">
        <f>Table1[[#This Row],[Qty]]*Table1[[#This Row],[Unit_Price]]</f>
        <v>39206.340000000004</v>
      </c>
    </row>
    <row r="226" spans="1:9" x14ac:dyDescent="0.25">
      <c r="A226">
        <v>10225</v>
      </c>
      <c r="B226" s="1">
        <v>45806</v>
      </c>
      <c r="C226" t="s">
        <v>34</v>
      </c>
      <c r="D226" t="s">
        <v>27</v>
      </c>
      <c r="E226" t="s">
        <v>24</v>
      </c>
      <c r="F226">
        <v>1</v>
      </c>
      <c r="G226">
        <v>10818.55</v>
      </c>
      <c r="H226" t="s">
        <v>28</v>
      </c>
      <c r="I226">
        <f>Table1[[#This Row],[Qty]]*Table1[[#This Row],[Unit_Price]]</f>
        <v>10818.55</v>
      </c>
    </row>
    <row r="227" spans="1:9" x14ac:dyDescent="0.25">
      <c r="A227">
        <v>10226</v>
      </c>
      <c r="B227" s="1">
        <v>45747</v>
      </c>
      <c r="C227" t="s">
        <v>9</v>
      </c>
      <c r="D227" t="s">
        <v>20</v>
      </c>
      <c r="E227" t="s">
        <v>11</v>
      </c>
      <c r="F227">
        <v>4</v>
      </c>
      <c r="G227">
        <v>1509.77</v>
      </c>
      <c r="H227" t="s">
        <v>18</v>
      </c>
      <c r="I227">
        <f>Table1[[#This Row],[Qty]]*Table1[[#This Row],[Unit_Price]]</f>
        <v>6039.08</v>
      </c>
    </row>
    <row r="228" spans="1:9" x14ac:dyDescent="0.25">
      <c r="A228">
        <v>10227</v>
      </c>
      <c r="B228" s="1">
        <v>45694</v>
      </c>
      <c r="C228" t="s">
        <v>16</v>
      </c>
      <c r="D228" t="s">
        <v>31</v>
      </c>
      <c r="E228" t="s">
        <v>11</v>
      </c>
      <c r="F228">
        <v>1</v>
      </c>
      <c r="G228">
        <v>8885.2000000000007</v>
      </c>
      <c r="H228" t="s">
        <v>14</v>
      </c>
      <c r="I228">
        <f>Table1[[#This Row],[Qty]]*Table1[[#This Row],[Unit_Price]]</f>
        <v>8885.2000000000007</v>
      </c>
    </row>
    <row r="229" spans="1:9" x14ac:dyDescent="0.25">
      <c r="A229">
        <v>10228</v>
      </c>
      <c r="B229" s="1">
        <v>45818</v>
      </c>
      <c r="C229" t="s">
        <v>25</v>
      </c>
      <c r="D229" t="s">
        <v>31</v>
      </c>
      <c r="E229" t="s">
        <v>11</v>
      </c>
      <c r="F229">
        <v>5</v>
      </c>
      <c r="G229">
        <v>8827.9599999999991</v>
      </c>
      <c r="H229" t="s">
        <v>28</v>
      </c>
      <c r="I229">
        <f>Table1[[#This Row],[Qty]]*Table1[[#This Row],[Unit_Price]]</f>
        <v>44139.799999999996</v>
      </c>
    </row>
    <row r="230" spans="1:9" x14ac:dyDescent="0.25">
      <c r="A230">
        <v>10229</v>
      </c>
      <c r="B230" s="1">
        <v>45806</v>
      </c>
      <c r="C230" t="s">
        <v>21</v>
      </c>
      <c r="D230" t="s">
        <v>10</v>
      </c>
      <c r="E230" t="s">
        <v>11</v>
      </c>
      <c r="F230">
        <v>4</v>
      </c>
      <c r="G230">
        <v>452.09</v>
      </c>
      <c r="H230" t="s">
        <v>12</v>
      </c>
      <c r="I230">
        <f>Table1[[#This Row],[Qty]]*Table1[[#This Row],[Unit_Price]]</f>
        <v>1808.36</v>
      </c>
    </row>
    <row r="231" spans="1:9" x14ac:dyDescent="0.25">
      <c r="A231">
        <v>10230</v>
      </c>
      <c r="B231" s="1">
        <v>45974</v>
      </c>
      <c r="C231" t="s">
        <v>29</v>
      </c>
      <c r="D231" t="s">
        <v>32</v>
      </c>
      <c r="E231" t="s">
        <v>11</v>
      </c>
      <c r="F231">
        <v>3</v>
      </c>
      <c r="G231">
        <v>2294.06</v>
      </c>
      <c r="H231" t="s">
        <v>12</v>
      </c>
      <c r="I231">
        <f>Table1[[#This Row],[Qty]]*Table1[[#This Row],[Unit_Price]]</f>
        <v>6882.18</v>
      </c>
    </row>
    <row r="232" spans="1:9" x14ac:dyDescent="0.25">
      <c r="A232">
        <v>10231</v>
      </c>
      <c r="B232" s="1">
        <v>45881</v>
      </c>
      <c r="C232" t="s">
        <v>26</v>
      </c>
      <c r="D232" t="s">
        <v>31</v>
      </c>
      <c r="E232" t="s">
        <v>11</v>
      </c>
      <c r="F232">
        <v>5</v>
      </c>
      <c r="G232">
        <v>8241.56</v>
      </c>
      <c r="H232" t="s">
        <v>18</v>
      </c>
      <c r="I232">
        <f>Table1[[#This Row],[Qty]]*Table1[[#This Row],[Unit_Price]]</f>
        <v>41207.799999999996</v>
      </c>
    </row>
    <row r="233" spans="1:9" x14ac:dyDescent="0.25">
      <c r="A233">
        <v>10232</v>
      </c>
      <c r="B233" s="1">
        <v>45771</v>
      </c>
      <c r="C233" t="s">
        <v>25</v>
      </c>
      <c r="D233" t="s">
        <v>27</v>
      </c>
      <c r="E233" t="s">
        <v>24</v>
      </c>
      <c r="F233">
        <v>2</v>
      </c>
      <c r="G233">
        <v>10983.31</v>
      </c>
      <c r="H233" t="s">
        <v>14</v>
      </c>
      <c r="I233">
        <f>Table1[[#This Row],[Qty]]*Table1[[#This Row],[Unit_Price]]</f>
        <v>21966.62</v>
      </c>
    </row>
    <row r="234" spans="1:9" x14ac:dyDescent="0.25">
      <c r="A234">
        <v>10233</v>
      </c>
      <c r="B234" s="1">
        <v>45929</v>
      </c>
      <c r="C234" t="s">
        <v>25</v>
      </c>
      <c r="D234" t="s">
        <v>17</v>
      </c>
      <c r="E234" t="s">
        <v>11</v>
      </c>
      <c r="F234">
        <v>3</v>
      </c>
      <c r="G234">
        <v>11642.64</v>
      </c>
      <c r="H234" t="s">
        <v>12</v>
      </c>
      <c r="I234">
        <f>Table1[[#This Row],[Qty]]*Table1[[#This Row],[Unit_Price]]</f>
        <v>34927.919999999998</v>
      </c>
    </row>
    <row r="235" spans="1:9" x14ac:dyDescent="0.25">
      <c r="A235">
        <v>10234</v>
      </c>
      <c r="B235" s="1">
        <v>45778</v>
      </c>
      <c r="C235" t="s">
        <v>19</v>
      </c>
      <c r="D235" t="s">
        <v>10</v>
      </c>
      <c r="E235" t="s">
        <v>11</v>
      </c>
      <c r="F235">
        <v>2</v>
      </c>
      <c r="G235">
        <v>475.6</v>
      </c>
      <c r="H235" t="s">
        <v>12</v>
      </c>
      <c r="I235">
        <f>Table1[[#This Row],[Qty]]*Table1[[#This Row],[Unit_Price]]</f>
        <v>951.2</v>
      </c>
    </row>
    <row r="236" spans="1:9" x14ac:dyDescent="0.25">
      <c r="A236">
        <v>10235</v>
      </c>
      <c r="B236" s="1">
        <v>45993</v>
      </c>
      <c r="C236" t="s">
        <v>25</v>
      </c>
      <c r="D236" t="s">
        <v>10</v>
      </c>
      <c r="E236" t="s">
        <v>11</v>
      </c>
      <c r="F236">
        <v>2</v>
      </c>
      <c r="G236">
        <v>545.13</v>
      </c>
      <c r="H236" t="s">
        <v>28</v>
      </c>
      <c r="I236">
        <f>Table1[[#This Row],[Qty]]*Table1[[#This Row],[Unit_Price]]</f>
        <v>1090.26</v>
      </c>
    </row>
    <row r="237" spans="1:9" x14ac:dyDescent="0.25">
      <c r="A237">
        <v>10236</v>
      </c>
      <c r="B237" s="1">
        <v>45895</v>
      </c>
      <c r="C237" t="s">
        <v>15</v>
      </c>
      <c r="D237" t="s">
        <v>32</v>
      </c>
      <c r="E237" t="s">
        <v>11</v>
      </c>
      <c r="F237">
        <v>5</v>
      </c>
      <c r="G237">
        <v>2571.5</v>
      </c>
      <c r="H237" t="s">
        <v>18</v>
      </c>
      <c r="I237">
        <f>Table1[[#This Row],[Qty]]*Table1[[#This Row],[Unit_Price]]</f>
        <v>12857.5</v>
      </c>
    </row>
    <row r="238" spans="1:9" x14ac:dyDescent="0.25">
      <c r="A238">
        <v>10237</v>
      </c>
      <c r="B238" s="1">
        <v>45979</v>
      </c>
      <c r="C238" t="s">
        <v>16</v>
      </c>
      <c r="D238" t="s">
        <v>27</v>
      </c>
      <c r="E238" t="s">
        <v>24</v>
      </c>
      <c r="F238">
        <v>2</v>
      </c>
      <c r="G238">
        <v>11855.43</v>
      </c>
      <c r="H238" t="s">
        <v>28</v>
      </c>
      <c r="I238">
        <f>Table1[[#This Row],[Qty]]*Table1[[#This Row],[Unit_Price]]</f>
        <v>23710.86</v>
      </c>
    </row>
    <row r="239" spans="1:9" x14ac:dyDescent="0.25">
      <c r="A239">
        <v>10238</v>
      </c>
      <c r="B239" s="1">
        <v>45981</v>
      </c>
      <c r="C239" t="s">
        <v>21</v>
      </c>
      <c r="D239" t="s">
        <v>23</v>
      </c>
      <c r="E239" t="s">
        <v>24</v>
      </c>
      <c r="F239">
        <v>3</v>
      </c>
      <c r="G239">
        <v>7127.99</v>
      </c>
      <c r="H239" t="s">
        <v>14</v>
      </c>
      <c r="I239">
        <f>Table1[[#This Row],[Qty]]*Table1[[#This Row],[Unit_Price]]</f>
        <v>21383.97</v>
      </c>
    </row>
    <row r="240" spans="1:9" x14ac:dyDescent="0.25">
      <c r="A240">
        <v>10239</v>
      </c>
      <c r="B240" s="1">
        <v>45816</v>
      </c>
      <c r="C240" t="s">
        <v>21</v>
      </c>
      <c r="D240" t="s">
        <v>32</v>
      </c>
      <c r="E240" t="s">
        <v>11</v>
      </c>
      <c r="F240">
        <v>4</v>
      </c>
      <c r="G240">
        <v>2268.8000000000002</v>
      </c>
      <c r="H240" t="s">
        <v>18</v>
      </c>
      <c r="I240">
        <f>Table1[[#This Row],[Qty]]*Table1[[#This Row],[Unit_Price]]</f>
        <v>9075.2000000000007</v>
      </c>
    </row>
    <row r="241" spans="1:9" x14ac:dyDescent="0.25">
      <c r="A241">
        <v>10240</v>
      </c>
      <c r="B241" s="1">
        <v>45697</v>
      </c>
      <c r="C241" t="s">
        <v>13</v>
      </c>
      <c r="D241" t="s">
        <v>10</v>
      </c>
      <c r="E241" t="s">
        <v>11</v>
      </c>
      <c r="F241">
        <v>5</v>
      </c>
      <c r="G241">
        <v>509.41</v>
      </c>
      <c r="H241" t="s">
        <v>28</v>
      </c>
      <c r="I241">
        <f>Table1[[#This Row],[Qty]]*Table1[[#This Row],[Unit_Price]]</f>
        <v>2547.0500000000002</v>
      </c>
    </row>
    <row r="242" spans="1:9" x14ac:dyDescent="0.25">
      <c r="A242">
        <v>10241</v>
      </c>
      <c r="B242" s="1">
        <v>45955</v>
      </c>
      <c r="C242" t="s">
        <v>15</v>
      </c>
      <c r="D242" t="s">
        <v>30</v>
      </c>
      <c r="E242" t="s">
        <v>11</v>
      </c>
      <c r="F242">
        <v>4</v>
      </c>
      <c r="G242">
        <v>54090.5</v>
      </c>
      <c r="H242" t="s">
        <v>12</v>
      </c>
      <c r="I242">
        <f>Table1[[#This Row],[Qty]]*Table1[[#This Row],[Unit_Price]]</f>
        <v>216362</v>
      </c>
    </row>
    <row r="243" spans="1:9" x14ac:dyDescent="0.25">
      <c r="A243">
        <v>10242</v>
      </c>
      <c r="B243" s="1">
        <v>45822</v>
      </c>
      <c r="C243" t="s">
        <v>33</v>
      </c>
      <c r="D243" t="s">
        <v>32</v>
      </c>
      <c r="E243" t="s">
        <v>11</v>
      </c>
      <c r="F243">
        <v>5</v>
      </c>
      <c r="G243">
        <v>2325.4299999999998</v>
      </c>
      <c r="H243" t="s">
        <v>28</v>
      </c>
      <c r="I243">
        <f>Table1[[#This Row],[Qty]]*Table1[[#This Row],[Unit_Price]]</f>
        <v>11627.15</v>
      </c>
    </row>
    <row r="244" spans="1:9" x14ac:dyDescent="0.25">
      <c r="A244">
        <v>10243</v>
      </c>
      <c r="B244" s="1">
        <v>45710</v>
      </c>
      <c r="C244" t="s">
        <v>19</v>
      </c>
      <c r="D244" t="s">
        <v>27</v>
      </c>
      <c r="E244" t="s">
        <v>24</v>
      </c>
      <c r="F244">
        <v>1</v>
      </c>
      <c r="G244">
        <v>12010.92</v>
      </c>
      <c r="H244" t="s">
        <v>14</v>
      </c>
      <c r="I244">
        <f>Table1[[#This Row],[Qty]]*Table1[[#This Row],[Unit_Price]]</f>
        <v>12010.92</v>
      </c>
    </row>
    <row r="245" spans="1:9" x14ac:dyDescent="0.25">
      <c r="A245">
        <v>10244</v>
      </c>
      <c r="B245" s="1">
        <v>45784</v>
      </c>
      <c r="C245" t="s">
        <v>15</v>
      </c>
      <c r="D245" t="s">
        <v>32</v>
      </c>
      <c r="E245" t="s">
        <v>11</v>
      </c>
      <c r="F245">
        <v>4</v>
      </c>
      <c r="G245">
        <v>2512.0300000000002</v>
      </c>
      <c r="H245" t="s">
        <v>12</v>
      </c>
      <c r="I245">
        <f>Table1[[#This Row],[Qty]]*Table1[[#This Row],[Unit_Price]]</f>
        <v>10048.120000000001</v>
      </c>
    </row>
    <row r="246" spans="1:9" x14ac:dyDescent="0.25">
      <c r="A246">
        <v>10245</v>
      </c>
      <c r="B246" s="1">
        <v>45844</v>
      </c>
      <c r="C246" t="s">
        <v>21</v>
      </c>
      <c r="D246" t="s">
        <v>27</v>
      </c>
      <c r="E246" t="s">
        <v>24</v>
      </c>
      <c r="F246">
        <v>3</v>
      </c>
      <c r="G246">
        <v>11729.8</v>
      </c>
      <c r="H246" t="s">
        <v>14</v>
      </c>
      <c r="I246">
        <f>Table1[[#This Row],[Qty]]*Table1[[#This Row],[Unit_Price]]</f>
        <v>35189.399999999994</v>
      </c>
    </row>
    <row r="247" spans="1:9" x14ac:dyDescent="0.25">
      <c r="A247">
        <v>10246</v>
      </c>
      <c r="B247" s="1">
        <v>45981</v>
      </c>
      <c r="C247" t="s">
        <v>22</v>
      </c>
      <c r="D247" t="s">
        <v>27</v>
      </c>
      <c r="E247" t="s">
        <v>24</v>
      </c>
      <c r="F247">
        <v>1</v>
      </c>
      <c r="G247">
        <v>11591.26</v>
      </c>
      <c r="H247" t="s">
        <v>28</v>
      </c>
      <c r="I247">
        <f>Table1[[#This Row],[Qty]]*Table1[[#This Row],[Unit_Price]]</f>
        <v>11591.26</v>
      </c>
    </row>
    <row r="248" spans="1:9" x14ac:dyDescent="0.25">
      <c r="A248">
        <v>10247</v>
      </c>
      <c r="B248" s="1">
        <v>45803</v>
      </c>
      <c r="C248" t="s">
        <v>21</v>
      </c>
      <c r="D248" t="s">
        <v>23</v>
      </c>
      <c r="E248" t="s">
        <v>24</v>
      </c>
      <c r="F248">
        <v>5</v>
      </c>
      <c r="G248">
        <v>7522.59</v>
      </c>
      <c r="H248" t="s">
        <v>14</v>
      </c>
      <c r="I248">
        <f>Table1[[#This Row],[Qty]]*Table1[[#This Row],[Unit_Price]]</f>
        <v>37612.949999999997</v>
      </c>
    </row>
    <row r="249" spans="1:9" x14ac:dyDescent="0.25">
      <c r="A249">
        <v>10248</v>
      </c>
      <c r="B249" s="1">
        <v>45956</v>
      </c>
      <c r="C249" t="s">
        <v>25</v>
      </c>
      <c r="D249" t="s">
        <v>20</v>
      </c>
      <c r="E249" t="s">
        <v>11</v>
      </c>
      <c r="F249">
        <v>3</v>
      </c>
      <c r="G249">
        <v>1443.07</v>
      </c>
      <c r="H249" t="s">
        <v>28</v>
      </c>
      <c r="I249">
        <f>Table1[[#This Row],[Qty]]*Table1[[#This Row],[Unit_Price]]</f>
        <v>4329.21</v>
      </c>
    </row>
    <row r="250" spans="1:9" x14ac:dyDescent="0.25">
      <c r="A250">
        <v>10249</v>
      </c>
      <c r="B250" s="1">
        <v>45724</v>
      </c>
      <c r="C250" t="s">
        <v>25</v>
      </c>
      <c r="D250" t="s">
        <v>10</v>
      </c>
      <c r="E250" t="s">
        <v>11</v>
      </c>
      <c r="F250">
        <v>3</v>
      </c>
      <c r="G250">
        <v>505.89</v>
      </c>
      <c r="H250" t="s">
        <v>18</v>
      </c>
      <c r="I250">
        <f>Table1[[#This Row],[Qty]]*Table1[[#This Row],[Unit_Price]]</f>
        <v>1517.67</v>
      </c>
    </row>
    <row r="251" spans="1:9" x14ac:dyDescent="0.25">
      <c r="A251">
        <v>10250</v>
      </c>
      <c r="B251" s="1">
        <v>45723</v>
      </c>
      <c r="C251" t="s">
        <v>33</v>
      </c>
      <c r="D251" t="s">
        <v>10</v>
      </c>
      <c r="E251" t="s">
        <v>11</v>
      </c>
      <c r="F251">
        <v>4</v>
      </c>
      <c r="G251">
        <v>500.85</v>
      </c>
      <c r="H251" t="s">
        <v>18</v>
      </c>
      <c r="I251">
        <f>Table1[[#This Row],[Qty]]*Table1[[#This Row],[Unit_Price]]</f>
        <v>2003.4</v>
      </c>
    </row>
    <row r="252" spans="1:9" x14ac:dyDescent="0.25">
      <c r="A252">
        <v>10251</v>
      </c>
      <c r="B252" s="1">
        <v>45816</v>
      </c>
      <c r="C252" t="s">
        <v>16</v>
      </c>
      <c r="D252" t="s">
        <v>20</v>
      </c>
      <c r="E252" t="s">
        <v>11</v>
      </c>
      <c r="F252">
        <v>2</v>
      </c>
      <c r="G252">
        <v>1452.52</v>
      </c>
      <c r="H252" t="s">
        <v>12</v>
      </c>
      <c r="I252">
        <f>Table1[[#This Row],[Qty]]*Table1[[#This Row],[Unit_Price]]</f>
        <v>2905.04</v>
      </c>
    </row>
    <row r="253" spans="1:9" x14ac:dyDescent="0.25">
      <c r="A253">
        <v>10252</v>
      </c>
      <c r="B253" s="1">
        <v>45773</v>
      </c>
      <c r="C253" t="s">
        <v>29</v>
      </c>
      <c r="D253" t="s">
        <v>20</v>
      </c>
      <c r="E253" t="s">
        <v>11</v>
      </c>
      <c r="F253">
        <v>2</v>
      </c>
      <c r="G253">
        <v>1373.15</v>
      </c>
      <c r="H253" t="s">
        <v>14</v>
      </c>
      <c r="I253">
        <f>Table1[[#This Row],[Qty]]*Table1[[#This Row],[Unit_Price]]</f>
        <v>2746.3</v>
      </c>
    </row>
    <row r="254" spans="1:9" x14ac:dyDescent="0.25">
      <c r="A254">
        <v>10253</v>
      </c>
      <c r="B254" s="1">
        <v>45996</v>
      </c>
      <c r="C254" t="s">
        <v>13</v>
      </c>
      <c r="D254" t="s">
        <v>27</v>
      </c>
      <c r="E254" t="s">
        <v>24</v>
      </c>
      <c r="F254">
        <v>5</v>
      </c>
      <c r="G254">
        <v>11114.52</v>
      </c>
      <c r="H254" t="s">
        <v>12</v>
      </c>
      <c r="I254">
        <f>Table1[[#This Row],[Qty]]*Table1[[#This Row],[Unit_Price]]</f>
        <v>55572.600000000006</v>
      </c>
    </row>
    <row r="255" spans="1:9" x14ac:dyDescent="0.25">
      <c r="A255">
        <v>10254</v>
      </c>
      <c r="B255" s="1">
        <v>45741</v>
      </c>
      <c r="C255" t="s">
        <v>19</v>
      </c>
      <c r="D255" t="s">
        <v>20</v>
      </c>
      <c r="E255" t="s">
        <v>11</v>
      </c>
      <c r="F255">
        <v>5</v>
      </c>
      <c r="G255">
        <v>1592.71</v>
      </c>
      <c r="H255" t="s">
        <v>28</v>
      </c>
      <c r="I255">
        <f>Table1[[#This Row],[Qty]]*Table1[[#This Row],[Unit_Price]]</f>
        <v>7963.55</v>
      </c>
    </row>
    <row r="256" spans="1:9" x14ac:dyDescent="0.25">
      <c r="A256">
        <v>10255</v>
      </c>
      <c r="B256" s="1">
        <v>45680</v>
      </c>
      <c r="C256" t="s">
        <v>9</v>
      </c>
      <c r="D256" t="s">
        <v>31</v>
      </c>
      <c r="E256" t="s">
        <v>11</v>
      </c>
      <c r="F256">
        <v>3</v>
      </c>
      <c r="G256">
        <v>9317.4500000000007</v>
      </c>
      <c r="H256" t="s">
        <v>28</v>
      </c>
      <c r="I256">
        <f>Table1[[#This Row],[Qty]]*Table1[[#This Row],[Unit_Price]]</f>
        <v>27952.350000000002</v>
      </c>
    </row>
    <row r="257" spans="1:9" x14ac:dyDescent="0.25">
      <c r="A257">
        <v>10256</v>
      </c>
      <c r="B257" s="1">
        <v>45970</v>
      </c>
      <c r="C257" t="s">
        <v>9</v>
      </c>
      <c r="D257" t="s">
        <v>23</v>
      </c>
      <c r="E257" t="s">
        <v>24</v>
      </c>
      <c r="F257">
        <v>4</v>
      </c>
      <c r="G257">
        <v>6627.6</v>
      </c>
      <c r="H257" t="s">
        <v>18</v>
      </c>
      <c r="I257">
        <f>Table1[[#This Row],[Qty]]*Table1[[#This Row],[Unit_Price]]</f>
        <v>26510.400000000001</v>
      </c>
    </row>
    <row r="258" spans="1:9" x14ac:dyDescent="0.25">
      <c r="A258">
        <v>10257</v>
      </c>
      <c r="B258" s="1">
        <v>45898</v>
      </c>
      <c r="C258" t="s">
        <v>15</v>
      </c>
      <c r="D258" t="s">
        <v>17</v>
      </c>
      <c r="E258" t="s">
        <v>11</v>
      </c>
      <c r="F258">
        <v>3</v>
      </c>
      <c r="G258">
        <v>12427.94</v>
      </c>
      <c r="H258" t="s">
        <v>28</v>
      </c>
      <c r="I258">
        <f>Table1[[#This Row],[Qty]]*Table1[[#This Row],[Unit_Price]]</f>
        <v>37283.82</v>
      </c>
    </row>
    <row r="259" spans="1:9" x14ac:dyDescent="0.25">
      <c r="A259">
        <v>10258</v>
      </c>
      <c r="B259" s="1">
        <v>45894</v>
      </c>
      <c r="C259" t="s">
        <v>13</v>
      </c>
      <c r="D259" t="s">
        <v>23</v>
      </c>
      <c r="E259" t="s">
        <v>24</v>
      </c>
      <c r="F259">
        <v>4</v>
      </c>
      <c r="G259">
        <v>7004.07</v>
      </c>
      <c r="H259" t="s">
        <v>12</v>
      </c>
      <c r="I259">
        <f>Table1[[#This Row],[Qty]]*Table1[[#This Row],[Unit_Price]]</f>
        <v>28016.28</v>
      </c>
    </row>
    <row r="260" spans="1:9" x14ac:dyDescent="0.25">
      <c r="A260">
        <v>10259</v>
      </c>
      <c r="B260" s="1">
        <v>45760</v>
      </c>
      <c r="C260" t="s">
        <v>16</v>
      </c>
      <c r="D260" t="s">
        <v>20</v>
      </c>
      <c r="E260" t="s">
        <v>11</v>
      </c>
      <c r="F260">
        <v>3</v>
      </c>
      <c r="G260">
        <v>1365.65</v>
      </c>
      <c r="H260" t="s">
        <v>18</v>
      </c>
      <c r="I260">
        <f>Table1[[#This Row],[Qty]]*Table1[[#This Row],[Unit_Price]]</f>
        <v>4096.9500000000007</v>
      </c>
    </row>
    <row r="261" spans="1:9" x14ac:dyDescent="0.25">
      <c r="A261">
        <v>10260</v>
      </c>
      <c r="B261" s="1">
        <v>45941</v>
      </c>
      <c r="C261" t="s">
        <v>26</v>
      </c>
      <c r="D261" t="s">
        <v>10</v>
      </c>
      <c r="E261" t="s">
        <v>11</v>
      </c>
      <c r="F261">
        <v>5</v>
      </c>
      <c r="G261">
        <v>535.12</v>
      </c>
      <c r="H261" t="s">
        <v>14</v>
      </c>
      <c r="I261">
        <f>Table1[[#This Row],[Qty]]*Table1[[#This Row],[Unit_Price]]</f>
        <v>2675.6</v>
      </c>
    </row>
    <row r="262" spans="1:9" x14ac:dyDescent="0.25">
      <c r="A262">
        <v>10261</v>
      </c>
      <c r="B262" s="1">
        <v>45740</v>
      </c>
      <c r="C262" t="s">
        <v>19</v>
      </c>
      <c r="D262" t="s">
        <v>23</v>
      </c>
      <c r="E262" t="s">
        <v>24</v>
      </c>
      <c r="F262">
        <v>4</v>
      </c>
      <c r="G262">
        <v>7567.43</v>
      </c>
      <c r="H262" t="s">
        <v>28</v>
      </c>
      <c r="I262">
        <f>Table1[[#This Row],[Qty]]*Table1[[#This Row],[Unit_Price]]</f>
        <v>30269.72</v>
      </c>
    </row>
    <row r="263" spans="1:9" x14ac:dyDescent="0.25">
      <c r="A263">
        <v>10262</v>
      </c>
      <c r="B263" s="1">
        <v>45704</v>
      </c>
      <c r="C263" t="s">
        <v>33</v>
      </c>
      <c r="D263" t="s">
        <v>17</v>
      </c>
      <c r="E263" t="s">
        <v>11</v>
      </c>
      <c r="F263">
        <v>4</v>
      </c>
      <c r="G263">
        <v>12923.11</v>
      </c>
      <c r="H263" t="s">
        <v>28</v>
      </c>
      <c r="I263">
        <f>Table1[[#This Row],[Qty]]*Table1[[#This Row],[Unit_Price]]</f>
        <v>51692.44</v>
      </c>
    </row>
    <row r="264" spans="1:9" x14ac:dyDescent="0.25">
      <c r="A264">
        <v>10263</v>
      </c>
      <c r="B264" s="1">
        <v>45685</v>
      </c>
      <c r="C264" t="s">
        <v>13</v>
      </c>
      <c r="D264" t="s">
        <v>31</v>
      </c>
      <c r="E264" t="s">
        <v>11</v>
      </c>
      <c r="F264">
        <v>5</v>
      </c>
      <c r="G264">
        <v>8773.1299999999992</v>
      </c>
      <c r="H264" t="s">
        <v>14</v>
      </c>
      <c r="I264">
        <f>Table1[[#This Row],[Qty]]*Table1[[#This Row],[Unit_Price]]</f>
        <v>43865.649999999994</v>
      </c>
    </row>
    <row r="265" spans="1:9" x14ac:dyDescent="0.25">
      <c r="A265">
        <v>10264</v>
      </c>
      <c r="B265" s="1">
        <v>45849</v>
      </c>
      <c r="C265" t="s">
        <v>29</v>
      </c>
      <c r="D265" t="s">
        <v>17</v>
      </c>
      <c r="E265" t="s">
        <v>11</v>
      </c>
      <c r="F265">
        <v>1</v>
      </c>
      <c r="G265">
        <v>11564.84</v>
      </c>
      <c r="H265" t="s">
        <v>18</v>
      </c>
      <c r="I265">
        <f>Table1[[#This Row],[Qty]]*Table1[[#This Row],[Unit_Price]]</f>
        <v>11564.84</v>
      </c>
    </row>
    <row r="266" spans="1:9" x14ac:dyDescent="0.25">
      <c r="A266">
        <v>10265</v>
      </c>
      <c r="B266" s="1">
        <v>45732</v>
      </c>
      <c r="C266" t="s">
        <v>16</v>
      </c>
      <c r="D266" t="s">
        <v>20</v>
      </c>
      <c r="E266" t="s">
        <v>11</v>
      </c>
      <c r="F266">
        <v>1</v>
      </c>
      <c r="G266">
        <v>1436.06</v>
      </c>
      <c r="H266" t="s">
        <v>12</v>
      </c>
      <c r="I266">
        <f>Table1[[#This Row],[Qty]]*Table1[[#This Row],[Unit_Price]]</f>
        <v>1436.06</v>
      </c>
    </row>
    <row r="267" spans="1:9" x14ac:dyDescent="0.25">
      <c r="A267">
        <v>10266</v>
      </c>
      <c r="B267" s="1">
        <v>46019</v>
      </c>
      <c r="C267" t="s">
        <v>29</v>
      </c>
      <c r="D267" t="s">
        <v>32</v>
      </c>
      <c r="E267" t="s">
        <v>11</v>
      </c>
      <c r="F267">
        <v>4</v>
      </c>
      <c r="G267">
        <v>2557.67</v>
      </c>
      <c r="H267" t="s">
        <v>14</v>
      </c>
      <c r="I267">
        <f>Table1[[#This Row],[Qty]]*Table1[[#This Row],[Unit_Price]]</f>
        <v>10230.68</v>
      </c>
    </row>
    <row r="268" spans="1:9" x14ac:dyDescent="0.25">
      <c r="A268">
        <v>10267</v>
      </c>
      <c r="B268" s="1">
        <v>45789</v>
      </c>
      <c r="C268" t="s">
        <v>34</v>
      </c>
      <c r="D268" t="s">
        <v>17</v>
      </c>
      <c r="E268" t="s">
        <v>11</v>
      </c>
      <c r="F268">
        <v>2</v>
      </c>
      <c r="G268">
        <v>12117.13</v>
      </c>
      <c r="H268" t="s">
        <v>28</v>
      </c>
      <c r="I268">
        <f>Table1[[#This Row],[Qty]]*Table1[[#This Row],[Unit_Price]]</f>
        <v>24234.26</v>
      </c>
    </row>
    <row r="269" spans="1:9" x14ac:dyDescent="0.25">
      <c r="A269">
        <v>10268</v>
      </c>
      <c r="B269" s="1">
        <v>45714</v>
      </c>
      <c r="C269" t="s">
        <v>33</v>
      </c>
      <c r="D269" t="s">
        <v>23</v>
      </c>
      <c r="E269" t="s">
        <v>24</v>
      </c>
      <c r="F269">
        <v>2</v>
      </c>
      <c r="G269">
        <v>6721.61</v>
      </c>
      <c r="H269" t="s">
        <v>12</v>
      </c>
      <c r="I269">
        <f>Table1[[#This Row],[Qty]]*Table1[[#This Row],[Unit_Price]]</f>
        <v>13443.22</v>
      </c>
    </row>
    <row r="270" spans="1:9" x14ac:dyDescent="0.25">
      <c r="A270">
        <v>10269</v>
      </c>
      <c r="B270" s="1">
        <v>45872</v>
      </c>
      <c r="C270" t="s">
        <v>16</v>
      </c>
      <c r="D270" t="s">
        <v>32</v>
      </c>
      <c r="E270" t="s">
        <v>11</v>
      </c>
      <c r="F270">
        <v>1</v>
      </c>
      <c r="G270">
        <v>2305.4299999999998</v>
      </c>
      <c r="H270" t="s">
        <v>14</v>
      </c>
      <c r="I270">
        <f>Table1[[#This Row],[Qty]]*Table1[[#This Row],[Unit_Price]]</f>
        <v>2305.4299999999998</v>
      </c>
    </row>
    <row r="271" spans="1:9" x14ac:dyDescent="0.25">
      <c r="A271">
        <v>10270</v>
      </c>
      <c r="B271" s="1">
        <v>45981</v>
      </c>
      <c r="C271" t="s">
        <v>33</v>
      </c>
      <c r="D271" t="s">
        <v>17</v>
      </c>
      <c r="E271" t="s">
        <v>11</v>
      </c>
      <c r="F271">
        <v>2</v>
      </c>
      <c r="G271">
        <v>11499.05</v>
      </c>
      <c r="H271" t="s">
        <v>18</v>
      </c>
      <c r="I271">
        <f>Table1[[#This Row],[Qty]]*Table1[[#This Row],[Unit_Price]]</f>
        <v>22998.1</v>
      </c>
    </row>
    <row r="272" spans="1:9" x14ac:dyDescent="0.25">
      <c r="A272">
        <v>10271</v>
      </c>
      <c r="B272" s="1">
        <v>45781</v>
      </c>
      <c r="C272" t="s">
        <v>29</v>
      </c>
      <c r="D272" t="s">
        <v>31</v>
      </c>
      <c r="E272" t="s">
        <v>11</v>
      </c>
      <c r="F272">
        <v>2</v>
      </c>
      <c r="G272">
        <v>9295.8700000000008</v>
      </c>
      <c r="H272" t="s">
        <v>18</v>
      </c>
      <c r="I272">
        <f>Table1[[#This Row],[Qty]]*Table1[[#This Row],[Unit_Price]]</f>
        <v>18591.740000000002</v>
      </c>
    </row>
    <row r="273" spans="1:9" x14ac:dyDescent="0.25">
      <c r="A273">
        <v>10272</v>
      </c>
      <c r="B273" s="1">
        <v>45692</v>
      </c>
      <c r="C273" t="s">
        <v>33</v>
      </c>
      <c r="D273" t="s">
        <v>30</v>
      </c>
      <c r="E273" t="s">
        <v>11</v>
      </c>
      <c r="F273">
        <v>4</v>
      </c>
      <c r="G273">
        <v>53733.31</v>
      </c>
      <c r="H273" t="s">
        <v>28</v>
      </c>
      <c r="I273">
        <f>Table1[[#This Row],[Qty]]*Table1[[#This Row],[Unit_Price]]</f>
        <v>214933.24</v>
      </c>
    </row>
    <row r="274" spans="1:9" x14ac:dyDescent="0.25">
      <c r="A274">
        <v>10273</v>
      </c>
      <c r="B274" s="1">
        <v>45849</v>
      </c>
      <c r="C274" t="s">
        <v>29</v>
      </c>
      <c r="D274" t="s">
        <v>23</v>
      </c>
      <c r="E274" t="s">
        <v>24</v>
      </c>
      <c r="F274">
        <v>1</v>
      </c>
      <c r="G274">
        <v>6799.93</v>
      </c>
      <c r="H274" t="s">
        <v>18</v>
      </c>
      <c r="I274">
        <f>Table1[[#This Row],[Qty]]*Table1[[#This Row],[Unit_Price]]</f>
        <v>6799.93</v>
      </c>
    </row>
    <row r="275" spans="1:9" x14ac:dyDescent="0.25">
      <c r="A275">
        <v>10274</v>
      </c>
      <c r="B275" s="1">
        <v>45781</v>
      </c>
      <c r="C275" t="s">
        <v>21</v>
      </c>
      <c r="D275" t="s">
        <v>10</v>
      </c>
      <c r="E275" t="s">
        <v>11</v>
      </c>
      <c r="F275">
        <v>5</v>
      </c>
      <c r="G275">
        <v>523.52</v>
      </c>
      <c r="H275" t="s">
        <v>12</v>
      </c>
      <c r="I275">
        <f>Table1[[#This Row],[Qty]]*Table1[[#This Row],[Unit_Price]]</f>
        <v>2617.6</v>
      </c>
    </row>
    <row r="276" spans="1:9" x14ac:dyDescent="0.25">
      <c r="A276">
        <v>10275</v>
      </c>
      <c r="B276" s="1">
        <v>45680</v>
      </c>
      <c r="C276" t="s">
        <v>25</v>
      </c>
      <c r="D276" t="s">
        <v>27</v>
      </c>
      <c r="E276" t="s">
        <v>24</v>
      </c>
      <c r="F276">
        <v>5</v>
      </c>
      <c r="G276">
        <v>11612.51</v>
      </c>
      <c r="H276" t="s">
        <v>12</v>
      </c>
      <c r="I276">
        <f>Table1[[#This Row],[Qty]]*Table1[[#This Row],[Unit_Price]]</f>
        <v>58062.55</v>
      </c>
    </row>
    <row r="277" spans="1:9" x14ac:dyDescent="0.25">
      <c r="A277">
        <v>10276</v>
      </c>
      <c r="B277" s="1">
        <v>46008</v>
      </c>
      <c r="C277" t="s">
        <v>19</v>
      </c>
      <c r="D277" t="s">
        <v>32</v>
      </c>
      <c r="E277" t="s">
        <v>11</v>
      </c>
      <c r="F277">
        <v>4</v>
      </c>
      <c r="G277">
        <v>2565.87</v>
      </c>
      <c r="H277" t="s">
        <v>14</v>
      </c>
      <c r="I277">
        <f>Table1[[#This Row],[Qty]]*Table1[[#This Row],[Unit_Price]]</f>
        <v>10263.48</v>
      </c>
    </row>
    <row r="278" spans="1:9" x14ac:dyDescent="0.25">
      <c r="A278">
        <v>10277</v>
      </c>
      <c r="B278" s="1">
        <v>45892</v>
      </c>
      <c r="C278" t="s">
        <v>9</v>
      </c>
      <c r="D278" t="s">
        <v>30</v>
      </c>
      <c r="E278" t="s">
        <v>11</v>
      </c>
      <c r="F278">
        <v>3</v>
      </c>
      <c r="G278">
        <v>47015.91</v>
      </c>
      <c r="H278" t="s">
        <v>14</v>
      </c>
      <c r="I278">
        <f>Table1[[#This Row],[Qty]]*Table1[[#This Row],[Unit_Price]]</f>
        <v>141047.73000000001</v>
      </c>
    </row>
    <row r="279" spans="1:9" x14ac:dyDescent="0.25">
      <c r="A279">
        <v>10278</v>
      </c>
      <c r="B279" s="1">
        <v>45819</v>
      </c>
      <c r="C279" t="s">
        <v>22</v>
      </c>
      <c r="D279" t="s">
        <v>23</v>
      </c>
      <c r="E279" t="s">
        <v>24</v>
      </c>
      <c r="F279">
        <v>5</v>
      </c>
      <c r="G279">
        <v>6857.51</v>
      </c>
      <c r="H279" t="s">
        <v>28</v>
      </c>
      <c r="I279">
        <f>Table1[[#This Row],[Qty]]*Table1[[#This Row],[Unit_Price]]</f>
        <v>34287.550000000003</v>
      </c>
    </row>
    <row r="280" spans="1:9" x14ac:dyDescent="0.25">
      <c r="A280">
        <v>10279</v>
      </c>
      <c r="B280" s="1">
        <v>45787</v>
      </c>
      <c r="C280" t="s">
        <v>33</v>
      </c>
      <c r="D280" t="s">
        <v>30</v>
      </c>
      <c r="E280" t="s">
        <v>11</v>
      </c>
      <c r="F280">
        <v>2</v>
      </c>
      <c r="G280">
        <v>47861.11</v>
      </c>
      <c r="H280" t="s">
        <v>18</v>
      </c>
      <c r="I280">
        <f>Table1[[#This Row],[Qty]]*Table1[[#This Row],[Unit_Price]]</f>
        <v>95722.22</v>
      </c>
    </row>
    <row r="281" spans="1:9" x14ac:dyDescent="0.25">
      <c r="A281">
        <v>10280</v>
      </c>
      <c r="B281" s="1">
        <v>45797</v>
      </c>
      <c r="C281" t="s">
        <v>13</v>
      </c>
      <c r="D281" t="s">
        <v>10</v>
      </c>
      <c r="E281" t="s">
        <v>11</v>
      </c>
      <c r="F281">
        <v>3</v>
      </c>
      <c r="G281">
        <v>493.7</v>
      </c>
      <c r="H281" t="s">
        <v>28</v>
      </c>
      <c r="I281">
        <f>Table1[[#This Row],[Qty]]*Table1[[#This Row],[Unit_Price]]</f>
        <v>1481.1</v>
      </c>
    </row>
    <row r="282" spans="1:9" x14ac:dyDescent="0.25">
      <c r="A282">
        <v>10281</v>
      </c>
      <c r="B282" s="1">
        <v>45855</v>
      </c>
      <c r="C282" t="s">
        <v>16</v>
      </c>
      <c r="D282" t="s">
        <v>27</v>
      </c>
      <c r="E282" t="s">
        <v>24</v>
      </c>
      <c r="F282">
        <v>2</v>
      </c>
      <c r="G282">
        <v>11990.89</v>
      </c>
      <c r="H282" t="s">
        <v>18</v>
      </c>
      <c r="I282">
        <f>Table1[[#This Row],[Qty]]*Table1[[#This Row],[Unit_Price]]</f>
        <v>23981.78</v>
      </c>
    </row>
    <row r="283" spans="1:9" x14ac:dyDescent="0.25">
      <c r="A283">
        <v>10282</v>
      </c>
      <c r="B283" s="1">
        <v>45923</v>
      </c>
      <c r="C283" t="s">
        <v>29</v>
      </c>
      <c r="D283" t="s">
        <v>23</v>
      </c>
      <c r="E283" t="s">
        <v>24</v>
      </c>
      <c r="F283">
        <v>1</v>
      </c>
      <c r="G283">
        <v>7317.91</v>
      </c>
      <c r="H283" t="s">
        <v>28</v>
      </c>
      <c r="I283">
        <f>Table1[[#This Row],[Qty]]*Table1[[#This Row],[Unit_Price]]</f>
        <v>7317.91</v>
      </c>
    </row>
    <row r="284" spans="1:9" x14ac:dyDescent="0.25">
      <c r="A284">
        <v>10283</v>
      </c>
      <c r="B284" s="1">
        <v>45966</v>
      </c>
      <c r="C284" t="s">
        <v>29</v>
      </c>
      <c r="D284" t="s">
        <v>20</v>
      </c>
      <c r="E284" t="s">
        <v>11</v>
      </c>
      <c r="F284">
        <v>5</v>
      </c>
      <c r="G284">
        <v>1438.13</v>
      </c>
      <c r="H284" t="s">
        <v>14</v>
      </c>
      <c r="I284">
        <f>Table1[[#This Row],[Qty]]*Table1[[#This Row],[Unit_Price]]</f>
        <v>7190.6500000000005</v>
      </c>
    </row>
    <row r="285" spans="1:9" x14ac:dyDescent="0.25">
      <c r="A285">
        <v>10284</v>
      </c>
      <c r="B285" s="1">
        <v>45825</v>
      </c>
      <c r="C285" t="s">
        <v>34</v>
      </c>
      <c r="D285" t="s">
        <v>23</v>
      </c>
      <c r="E285" t="s">
        <v>24</v>
      </c>
      <c r="F285">
        <v>3</v>
      </c>
      <c r="G285">
        <v>6924.28</v>
      </c>
      <c r="H285" t="s">
        <v>28</v>
      </c>
      <c r="I285">
        <f>Table1[[#This Row],[Qty]]*Table1[[#This Row],[Unit_Price]]</f>
        <v>20772.84</v>
      </c>
    </row>
    <row r="286" spans="1:9" x14ac:dyDescent="0.25">
      <c r="A286">
        <v>10285</v>
      </c>
      <c r="B286" s="1">
        <v>45743</v>
      </c>
      <c r="C286" t="s">
        <v>34</v>
      </c>
      <c r="D286" t="s">
        <v>32</v>
      </c>
      <c r="E286" t="s">
        <v>11</v>
      </c>
      <c r="F286">
        <v>3</v>
      </c>
      <c r="G286">
        <v>2473.56</v>
      </c>
      <c r="H286" t="s">
        <v>18</v>
      </c>
      <c r="I286">
        <f>Table1[[#This Row],[Qty]]*Table1[[#This Row],[Unit_Price]]</f>
        <v>7420.68</v>
      </c>
    </row>
    <row r="287" spans="1:9" x14ac:dyDescent="0.25">
      <c r="A287">
        <v>10286</v>
      </c>
      <c r="B287" s="1">
        <v>45972</v>
      </c>
      <c r="C287" t="s">
        <v>33</v>
      </c>
      <c r="D287" t="s">
        <v>31</v>
      </c>
      <c r="E287" t="s">
        <v>11</v>
      </c>
      <c r="F287">
        <v>3</v>
      </c>
      <c r="G287">
        <v>9251.0400000000009</v>
      </c>
      <c r="H287" t="s">
        <v>14</v>
      </c>
      <c r="I287">
        <f>Table1[[#This Row],[Qty]]*Table1[[#This Row],[Unit_Price]]</f>
        <v>27753.120000000003</v>
      </c>
    </row>
    <row r="288" spans="1:9" x14ac:dyDescent="0.25">
      <c r="A288">
        <v>10287</v>
      </c>
      <c r="B288" s="1">
        <v>46001</v>
      </c>
      <c r="C288" t="s">
        <v>34</v>
      </c>
      <c r="D288" t="s">
        <v>31</v>
      </c>
      <c r="E288" t="s">
        <v>11</v>
      </c>
      <c r="F288">
        <v>3</v>
      </c>
      <c r="G288">
        <v>9023.5499999999993</v>
      </c>
      <c r="H288" t="s">
        <v>12</v>
      </c>
      <c r="I288">
        <f>Table1[[#This Row],[Qty]]*Table1[[#This Row],[Unit_Price]]</f>
        <v>27070.649999999998</v>
      </c>
    </row>
    <row r="289" spans="1:9" x14ac:dyDescent="0.25">
      <c r="A289">
        <v>10288</v>
      </c>
      <c r="B289" s="1">
        <v>45673</v>
      </c>
      <c r="C289" t="s">
        <v>16</v>
      </c>
      <c r="D289" t="s">
        <v>20</v>
      </c>
      <c r="E289" t="s">
        <v>11</v>
      </c>
      <c r="F289">
        <v>5</v>
      </c>
      <c r="G289">
        <v>1553.43</v>
      </c>
      <c r="H289" t="s">
        <v>14</v>
      </c>
      <c r="I289">
        <f>Table1[[#This Row],[Qty]]*Table1[[#This Row],[Unit_Price]]</f>
        <v>7767.1500000000005</v>
      </c>
    </row>
    <row r="290" spans="1:9" x14ac:dyDescent="0.25">
      <c r="A290">
        <v>10289</v>
      </c>
      <c r="B290" s="1">
        <v>45722</v>
      </c>
      <c r="C290" t="s">
        <v>21</v>
      </c>
      <c r="D290" t="s">
        <v>10</v>
      </c>
      <c r="E290" t="s">
        <v>11</v>
      </c>
      <c r="F290">
        <v>2</v>
      </c>
      <c r="G290">
        <v>527.85</v>
      </c>
      <c r="H290" t="s">
        <v>18</v>
      </c>
      <c r="I290">
        <f>Table1[[#This Row],[Qty]]*Table1[[#This Row],[Unit_Price]]</f>
        <v>1055.7</v>
      </c>
    </row>
    <row r="291" spans="1:9" x14ac:dyDescent="0.25">
      <c r="A291">
        <v>10290</v>
      </c>
      <c r="B291" s="1">
        <v>45854</v>
      </c>
      <c r="C291" t="s">
        <v>16</v>
      </c>
      <c r="D291" t="s">
        <v>30</v>
      </c>
      <c r="E291" t="s">
        <v>11</v>
      </c>
      <c r="F291">
        <v>5</v>
      </c>
      <c r="G291">
        <v>46534.38</v>
      </c>
      <c r="H291" t="s">
        <v>18</v>
      </c>
      <c r="I291">
        <f>Table1[[#This Row],[Qty]]*Table1[[#This Row],[Unit_Price]]</f>
        <v>232671.9</v>
      </c>
    </row>
    <row r="292" spans="1:9" x14ac:dyDescent="0.25">
      <c r="A292">
        <v>10291</v>
      </c>
      <c r="B292" s="1">
        <v>45848</v>
      </c>
      <c r="C292" t="s">
        <v>22</v>
      </c>
      <c r="D292" t="s">
        <v>32</v>
      </c>
      <c r="E292" t="s">
        <v>11</v>
      </c>
      <c r="F292">
        <v>1</v>
      </c>
      <c r="G292">
        <v>2536.96</v>
      </c>
      <c r="H292" t="s">
        <v>18</v>
      </c>
      <c r="I292">
        <f>Table1[[#This Row],[Qty]]*Table1[[#This Row],[Unit_Price]]</f>
        <v>2536.96</v>
      </c>
    </row>
    <row r="293" spans="1:9" x14ac:dyDescent="0.25">
      <c r="A293">
        <v>10292</v>
      </c>
      <c r="B293" s="1">
        <v>45861</v>
      </c>
      <c r="C293" t="s">
        <v>29</v>
      </c>
      <c r="D293" t="s">
        <v>27</v>
      </c>
      <c r="E293" t="s">
        <v>24</v>
      </c>
      <c r="F293">
        <v>3</v>
      </c>
      <c r="G293">
        <v>11399.07</v>
      </c>
      <c r="H293" t="s">
        <v>14</v>
      </c>
      <c r="I293">
        <f>Table1[[#This Row],[Qty]]*Table1[[#This Row],[Unit_Price]]</f>
        <v>34197.21</v>
      </c>
    </row>
    <row r="294" spans="1:9" x14ac:dyDescent="0.25">
      <c r="A294">
        <v>10293</v>
      </c>
      <c r="B294" s="1">
        <v>45753</v>
      </c>
      <c r="C294" t="s">
        <v>22</v>
      </c>
      <c r="D294" t="s">
        <v>32</v>
      </c>
      <c r="E294" t="s">
        <v>11</v>
      </c>
      <c r="F294">
        <v>5</v>
      </c>
      <c r="G294">
        <v>2443.4899999999998</v>
      </c>
      <c r="H294" t="s">
        <v>14</v>
      </c>
      <c r="I294">
        <f>Table1[[#This Row],[Qty]]*Table1[[#This Row],[Unit_Price]]</f>
        <v>12217.449999999999</v>
      </c>
    </row>
    <row r="295" spans="1:9" x14ac:dyDescent="0.25">
      <c r="A295">
        <v>10294</v>
      </c>
      <c r="B295" s="1">
        <v>45792</v>
      </c>
      <c r="C295" t="s">
        <v>15</v>
      </c>
      <c r="D295" t="s">
        <v>23</v>
      </c>
      <c r="E295" t="s">
        <v>24</v>
      </c>
      <c r="F295">
        <v>4</v>
      </c>
      <c r="G295">
        <v>6600.4</v>
      </c>
      <c r="H295" t="s">
        <v>18</v>
      </c>
      <c r="I295">
        <f>Table1[[#This Row],[Qty]]*Table1[[#This Row],[Unit_Price]]</f>
        <v>26401.599999999999</v>
      </c>
    </row>
    <row r="296" spans="1:9" x14ac:dyDescent="0.25">
      <c r="A296">
        <v>10295</v>
      </c>
      <c r="B296" s="1">
        <v>46013</v>
      </c>
      <c r="C296" t="s">
        <v>29</v>
      </c>
      <c r="D296" t="s">
        <v>32</v>
      </c>
      <c r="E296" t="s">
        <v>11</v>
      </c>
      <c r="F296">
        <v>2</v>
      </c>
      <c r="G296">
        <v>2311.3200000000002</v>
      </c>
      <c r="H296" t="s">
        <v>28</v>
      </c>
      <c r="I296">
        <f>Table1[[#This Row],[Qty]]*Table1[[#This Row],[Unit_Price]]</f>
        <v>4622.6400000000003</v>
      </c>
    </row>
    <row r="297" spans="1:9" x14ac:dyDescent="0.25">
      <c r="A297">
        <v>10296</v>
      </c>
      <c r="B297" s="1">
        <v>45746</v>
      </c>
      <c r="C297" t="s">
        <v>21</v>
      </c>
      <c r="D297" t="s">
        <v>32</v>
      </c>
      <c r="E297" t="s">
        <v>11</v>
      </c>
      <c r="F297">
        <v>1</v>
      </c>
      <c r="G297">
        <v>2655.26</v>
      </c>
      <c r="H297" t="s">
        <v>18</v>
      </c>
      <c r="I297">
        <f>Table1[[#This Row],[Qty]]*Table1[[#This Row],[Unit_Price]]</f>
        <v>2655.26</v>
      </c>
    </row>
    <row r="298" spans="1:9" x14ac:dyDescent="0.25">
      <c r="A298">
        <v>10297</v>
      </c>
      <c r="B298" s="1">
        <v>46021</v>
      </c>
      <c r="C298" t="s">
        <v>26</v>
      </c>
      <c r="D298" t="s">
        <v>10</v>
      </c>
      <c r="E298" t="s">
        <v>11</v>
      </c>
      <c r="F298">
        <v>5</v>
      </c>
      <c r="G298">
        <v>504.22</v>
      </c>
      <c r="H298" t="s">
        <v>12</v>
      </c>
      <c r="I298">
        <f>Table1[[#This Row],[Qty]]*Table1[[#This Row],[Unit_Price]]</f>
        <v>2521.1000000000004</v>
      </c>
    </row>
    <row r="299" spans="1:9" x14ac:dyDescent="0.25">
      <c r="A299">
        <v>10298</v>
      </c>
      <c r="B299" s="1">
        <v>46022</v>
      </c>
      <c r="C299" t="s">
        <v>29</v>
      </c>
      <c r="D299" t="s">
        <v>20</v>
      </c>
      <c r="E299" t="s">
        <v>11</v>
      </c>
      <c r="F299">
        <v>3</v>
      </c>
      <c r="G299">
        <v>1502.63</v>
      </c>
      <c r="H299" t="s">
        <v>12</v>
      </c>
      <c r="I299">
        <f>Table1[[#This Row],[Qty]]*Table1[[#This Row],[Unit_Price]]</f>
        <v>4507.8900000000003</v>
      </c>
    </row>
    <row r="300" spans="1:9" x14ac:dyDescent="0.25">
      <c r="A300">
        <v>10299</v>
      </c>
      <c r="B300" s="1">
        <v>45729</v>
      </c>
      <c r="C300" t="s">
        <v>22</v>
      </c>
      <c r="D300" t="s">
        <v>17</v>
      </c>
      <c r="E300" t="s">
        <v>11</v>
      </c>
      <c r="F300">
        <v>4</v>
      </c>
      <c r="G300">
        <v>10863.08</v>
      </c>
      <c r="H300" t="s">
        <v>18</v>
      </c>
      <c r="I300">
        <f>Table1[[#This Row],[Qty]]*Table1[[#This Row],[Unit_Price]]</f>
        <v>43452.32</v>
      </c>
    </row>
    <row r="301" spans="1:9" x14ac:dyDescent="0.25">
      <c r="A301">
        <v>10300</v>
      </c>
      <c r="B301" s="1">
        <v>45897</v>
      </c>
      <c r="C301" t="s">
        <v>29</v>
      </c>
      <c r="D301" t="s">
        <v>20</v>
      </c>
      <c r="E301" t="s">
        <v>11</v>
      </c>
      <c r="F301">
        <v>5</v>
      </c>
      <c r="G301">
        <v>1615.27</v>
      </c>
      <c r="H301" t="s">
        <v>18</v>
      </c>
      <c r="I301">
        <f>Table1[[#This Row],[Qty]]*Table1[[#This Row],[Unit_Price]]</f>
        <v>8076.35</v>
      </c>
    </row>
    <row r="302" spans="1:9" x14ac:dyDescent="0.25">
      <c r="A302">
        <v>10301</v>
      </c>
      <c r="B302" s="1">
        <v>45861</v>
      </c>
      <c r="C302" t="s">
        <v>13</v>
      </c>
      <c r="D302" t="s">
        <v>32</v>
      </c>
      <c r="E302" t="s">
        <v>11</v>
      </c>
      <c r="F302">
        <v>5</v>
      </c>
      <c r="G302">
        <v>2455.4</v>
      </c>
      <c r="H302" t="s">
        <v>14</v>
      </c>
      <c r="I302">
        <f>Table1[[#This Row],[Qty]]*Table1[[#This Row],[Unit_Price]]</f>
        <v>12277</v>
      </c>
    </row>
    <row r="303" spans="1:9" x14ac:dyDescent="0.25">
      <c r="A303">
        <v>10302</v>
      </c>
      <c r="B303" s="1">
        <v>45722</v>
      </c>
      <c r="C303" t="s">
        <v>25</v>
      </c>
      <c r="D303" t="s">
        <v>27</v>
      </c>
      <c r="E303" t="s">
        <v>24</v>
      </c>
      <c r="F303">
        <v>1</v>
      </c>
      <c r="G303">
        <v>11879.94</v>
      </c>
      <c r="H303" t="s">
        <v>18</v>
      </c>
      <c r="I303">
        <f>Table1[[#This Row],[Qty]]*Table1[[#This Row],[Unit_Price]]</f>
        <v>11879.94</v>
      </c>
    </row>
    <row r="304" spans="1:9" x14ac:dyDescent="0.25">
      <c r="A304">
        <v>10303</v>
      </c>
      <c r="B304" s="1">
        <v>45723</v>
      </c>
      <c r="C304" t="s">
        <v>33</v>
      </c>
      <c r="D304" t="s">
        <v>20</v>
      </c>
      <c r="E304" t="s">
        <v>11</v>
      </c>
      <c r="F304">
        <v>2</v>
      </c>
      <c r="G304">
        <v>1479.79</v>
      </c>
      <c r="H304" t="s">
        <v>14</v>
      </c>
      <c r="I304">
        <f>Table1[[#This Row],[Qty]]*Table1[[#This Row],[Unit_Price]]</f>
        <v>2959.58</v>
      </c>
    </row>
    <row r="305" spans="1:9" x14ac:dyDescent="0.25">
      <c r="A305">
        <v>10304</v>
      </c>
      <c r="B305" s="1">
        <v>45923</v>
      </c>
      <c r="C305" t="s">
        <v>21</v>
      </c>
      <c r="D305" t="s">
        <v>20</v>
      </c>
      <c r="E305" t="s">
        <v>11</v>
      </c>
      <c r="F305">
        <v>3</v>
      </c>
      <c r="G305">
        <v>1399.4</v>
      </c>
      <c r="H305" t="s">
        <v>12</v>
      </c>
      <c r="I305">
        <f>Table1[[#This Row],[Qty]]*Table1[[#This Row],[Unit_Price]]</f>
        <v>4198.2000000000007</v>
      </c>
    </row>
    <row r="306" spans="1:9" x14ac:dyDescent="0.25">
      <c r="A306">
        <v>10305</v>
      </c>
      <c r="B306" s="1">
        <v>45835</v>
      </c>
      <c r="C306" t="s">
        <v>25</v>
      </c>
      <c r="D306" t="s">
        <v>23</v>
      </c>
      <c r="E306" t="s">
        <v>24</v>
      </c>
      <c r="F306">
        <v>1</v>
      </c>
      <c r="G306">
        <v>6650.85</v>
      </c>
      <c r="H306" t="s">
        <v>18</v>
      </c>
      <c r="I306">
        <f>Table1[[#This Row],[Qty]]*Table1[[#This Row],[Unit_Price]]</f>
        <v>6650.85</v>
      </c>
    </row>
    <row r="307" spans="1:9" x14ac:dyDescent="0.25">
      <c r="A307">
        <v>10306</v>
      </c>
      <c r="B307" s="1">
        <v>45722</v>
      </c>
      <c r="C307" t="s">
        <v>22</v>
      </c>
      <c r="D307" t="s">
        <v>23</v>
      </c>
      <c r="E307" t="s">
        <v>24</v>
      </c>
      <c r="F307">
        <v>5</v>
      </c>
      <c r="G307">
        <v>7046.87</v>
      </c>
      <c r="H307" t="s">
        <v>12</v>
      </c>
      <c r="I307">
        <f>Table1[[#This Row],[Qty]]*Table1[[#This Row],[Unit_Price]]</f>
        <v>35234.35</v>
      </c>
    </row>
    <row r="308" spans="1:9" x14ac:dyDescent="0.25">
      <c r="A308">
        <v>10307</v>
      </c>
      <c r="B308" s="1">
        <v>45961</v>
      </c>
      <c r="C308" t="s">
        <v>34</v>
      </c>
      <c r="D308" t="s">
        <v>20</v>
      </c>
      <c r="E308" t="s">
        <v>11</v>
      </c>
      <c r="F308">
        <v>2</v>
      </c>
      <c r="G308">
        <v>1547.62</v>
      </c>
      <c r="H308" t="s">
        <v>18</v>
      </c>
      <c r="I308">
        <f>Table1[[#This Row],[Qty]]*Table1[[#This Row],[Unit_Price]]</f>
        <v>3095.24</v>
      </c>
    </row>
    <row r="309" spans="1:9" x14ac:dyDescent="0.25">
      <c r="A309">
        <v>10308</v>
      </c>
      <c r="B309" s="1">
        <v>45946</v>
      </c>
      <c r="C309" t="s">
        <v>25</v>
      </c>
      <c r="D309" t="s">
        <v>30</v>
      </c>
      <c r="E309" t="s">
        <v>11</v>
      </c>
      <c r="F309">
        <v>1</v>
      </c>
      <c r="G309">
        <v>45812.23</v>
      </c>
      <c r="H309" t="s">
        <v>18</v>
      </c>
      <c r="I309">
        <f>Table1[[#This Row],[Qty]]*Table1[[#This Row],[Unit_Price]]</f>
        <v>45812.23</v>
      </c>
    </row>
    <row r="310" spans="1:9" x14ac:dyDescent="0.25">
      <c r="A310">
        <v>10309</v>
      </c>
      <c r="B310" s="1">
        <v>45991</v>
      </c>
      <c r="C310" t="s">
        <v>25</v>
      </c>
      <c r="D310" t="s">
        <v>17</v>
      </c>
      <c r="E310" t="s">
        <v>11</v>
      </c>
      <c r="F310">
        <v>5</v>
      </c>
      <c r="G310">
        <v>11799.81</v>
      </c>
      <c r="H310" t="s">
        <v>14</v>
      </c>
      <c r="I310">
        <f>Table1[[#This Row],[Qty]]*Table1[[#This Row],[Unit_Price]]</f>
        <v>58999.049999999996</v>
      </c>
    </row>
    <row r="311" spans="1:9" x14ac:dyDescent="0.25">
      <c r="A311">
        <v>10310</v>
      </c>
      <c r="B311" s="1">
        <v>45912</v>
      </c>
      <c r="C311" t="s">
        <v>25</v>
      </c>
      <c r="D311" t="s">
        <v>23</v>
      </c>
      <c r="E311" t="s">
        <v>24</v>
      </c>
      <c r="F311">
        <v>3</v>
      </c>
      <c r="G311">
        <v>6976.12</v>
      </c>
      <c r="H311" t="s">
        <v>28</v>
      </c>
      <c r="I311">
        <f>Table1[[#This Row],[Qty]]*Table1[[#This Row],[Unit_Price]]</f>
        <v>20928.36</v>
      </c>
    </row>
    <row r="312" spans="1:9" x14ac:dyDescent="0.25">
      <c r="A312">
        <v>10311</v>
      </c>
      <c r="B312" s="1">
        <v>45810</v>
      </c>
      <c r="C312" t="s">
        <v>19</v>
      </c>
      <c r="D312" t="s">
        <v>32</v>
      </c>
      <c r="E312" t="s">
        <v>11</v>
      </c>
      <c r="F312">
        <v>1</v>
      </c>
      <c r="G312">
        <v>2594.31</v>
      </c>
      <c r="H312" t="s">
        <v>28</v>
      </c>
      <c r="I312">
        <f>Table1[[#This Row],[Qty]]*Table1[[#This Row],[Unit_Price]]</f>
        <v>2594.31</v>
      </c>
    </row>
    <row r="313" spans="1:9" x14ac:dyDescent="0.25">
      <c r="A313">
        <v>10312</v>
      </c>
      <c r="B313" s="1">
        <v>45870</v>
      </c>
      <c r="C313" t="s">
        <v>15</v>
      </c>
      <c r="D313" t="s">
        <v>32</v>
      </c>
      <c r="E313" t="s">
        <v>11</v>
      </c>
      <c r="F313">
        <v>4</v>
      </c>
      <c r="G313">
        <v>2352.0100000000002</v>
      </c>
      <c r="H313" t="s">
        <v>12</v>
      </c>
      <c r="I313">
        <f>Table1[[#This Row],[Qty]]*Table1[[#This Row],[Unit_Price]]</f>
        <v>9408.0400000000009</v>
      </c>
    </row>
    <row r="314" spans="1:9" x14ac:dyDescent="0.25">
      <c r="A314">
        <v>10313</v>
      </c>
      <c r="B314" s="1">
        <v>45818</v>
      </c>
      <c r="C314" t="s">
        <v>19</v>
      </c>
      <c r="D314" t="s">
        <v>27</v>
      </c>
      <c r="E314" t="s">
        <v>24</v>
      </c>
      <c r="F314">
        <v>3</v>
      </c>
      <c r="G314">
        <v>13140.9</v>
      </c>
      <c r="H314" t="s">
        <v>18</v>
      </c>
      <c r="I314">
        <f>Table1[[#This Row],[Qty]]*Table1[[#This Row],[Unit_Price]]</f>
        <v>39422.699999999997</v>
      </c>
    </row>
    <row r="315" spans="1:9" x14ac:dyDescent="0.25">
      <c r="A315">
        <v>10314</v>
      </c>
      <c r="B315" s="1">
        <v>45921</v>
      </c>
      <c r="C315" t="s">
        <v>29</v>
      </c>
      <c r="D315" t="s">
        <v>10</v>
      </c>
      <c r="E315" t="s">
        <v>11</v>
      </c>
      <c r="F315">
        <v>3</v>
      </c>
      <c r="G315">
        <v>474.17</v>
      </c>
      <c r="H315" t="s">
        <v>18</v>
      </c>
      <c r="I315">
        <f>Table1[[#This Row],[Qty]]*Table1[[#This Row],[Unit_Price]]</f>
        <v>1422.51</v>
      </c>
    </row>
    <row r="316" spans="1:9" x14ac:dyDescent="0.25">
      <c r="A316">
        <v>10315</v>
      </c>
      <c r="B316" s="1">
        <v>45888</v>
      </c>
      <c r="C316" t="s">
        <v>26</v>
      </c>
      <c r="D316" t="s">
        <v>17</v>
      </c>
      <c r="E316" t="s">
        <v>11</v>
      </c>
      <c r="F316">
        <v>2</v>
      </c>
      <c r="G316">
        <v>11032.35</v>
      </c>
      <c r="H316" t="s">
        <v>28</v>
      </c>
      <c r="I316">
        <f>Table1[[#This Row],[Qty]]*Table1[[#This Row],[Unit_Price]]</f>
        <v>22064.7</v>
      </c>
    </row>
    <row r="317" spans="1:9" x14ac:dyDescent="0.25">
      <c r="A317">
        <v>10316</v>
      </c>
      <c r="B317" s="1">
        <v>45973</v>
      </c>
      <c r="C317" t="s">
        <v>19</v>
      </c>
      <c r="D317" t="s">
        <v>31</v>
      </c>
      <c r="E317" t="s">
        <v>11</v>
      </c>
      <c r="F317">
        <v>2</v>
      </c>
      <c r="G317">
        <v>9832.83</v>
      </c>
      <c r="H317" t="s">
        <v>18</v>
      </c>
      <c r="I317">
        <f>Table1[[#This Row],[Qty]]*Table1[[#This Row],[Unit_Price]]</f>
        <v>19665.66</v>
      </c>
    </row>
    <row r="318" spans="1:9" x14ac:dyDescent="0.25">
      <c r="A318">
        <v>10317</v>
      </c>
      <c r="B318" s="1">
        <v>45953</v>
      </c>
      <c r="C318" t="s">
        <v>16</v>
      </c>
      <c r="D318" t="s">
        <v>27</v>
      </c>
      <c r="E318" t="s">
        <v>24</v>
      </c>
      <c r="F318">
        <v>2</v>
      </c>
      <c r="G318">
        <v>12631.49</v>
      </c>
      <c r="H318" t="s">
        <v>28</v>
      </c>
      <c r="I318">
        <f>Table1[[#This Row],[Qty]]*Table1[[#This Row],[Unit_Price]]</f>
        <v>25262.98</v>
      </c>
    </row>
    <row r="319" spans="1:9" x14ac:dyDescent="0.25">
      <c r="A319">
        <v>10318</v>
      </c>
      <c r="B319" s="1">
        <v>45913</v>
      </c>
      <c r="C319" t="s">
        <v>13</v>
      </c>
      <c r="D319" t="s">
        <v>23</v>
      </c>
      <c r="E319" t="s">
        <v>24</v>
      </c>
      <c r="F319">
        <v>4</v>
      </c>
      <c r="G319">
        <v>6332.45</v>
      </c>
      <c r="H319" t="s">
        <v>28</v>
      </c>
      <c r="I319">
        <f>Table1[[#This Row],[Qty]]*Table1[[#This Row],[Unit_Price]]</f>
        <v>25329.8</v>
      </c>
    </row>
    <row r="320" spans="1:9" x14ac:dyDescent="0.25">
      <c r="A320">
        <v>10319</v>
      </c>
      <c r="B320" s="1">
        <v>45781</v>
      </c>
      <c r="C320" t="s">
        <v>33</v>
      </c>
      <c r="D320" t="s">
        <v>17</v>
      </c>
      <c r="E320" t="s">
        <v>11</v>
      </c>
      <c r="F320">
        <v>5</v>
      </c>
      <c r="G320">
        <v>11646.95</v>
      </c>
      <c r="H320" t="s">
        <v>18</v>
      </c>
      <c r="I320">
        <f>Table1[[#This Row],[Qty]]*Table1[[#This Row],[Unit_Price]]</f>
        <v>58234.75</v>
      </c>
    </row>
    <row r="321" spans="1:9" x14ac:dyDescent="0.25">
      <c r="A321">
        <v>10320</v>
      </c>
      <c r="B321" s="1">
        <v>45911</v>
      </c>
      <c r="C321" t="s">
        <v>29</v>
      </c>
      <c r="D321" t="s">
        <v>32</v>
      </c>
      <c r="E321" t="s">
        <v>11</v>
      </c>
      <c r="F321">
        <v>3</v>
      </c>
      <c r="G321">
        <v>2518.35</v>
      </c>
      <c r="H321" t="s">
        <v>28</v>
      </c>
      <c r="I321">
        <f>Table1[[#This Row],[Qty]]*Table1[[#This Row],[Unit_Price]]</f>
        <v>7555.0499999999993</v>
      </c>
    </row>
    <row r="322" spans="1:9" x14ac:dyDescent="0.25">
      <c r="A322">
        <v>10321</v>
      </c>
      <c r="B322" s="1">
        <v>45726</v>
      </c>
      <c r="C322" t="s">
        <v>21</v>
      </c>
      <c r="D322" t="s">
        <v>23</v>
      </c>
      <c r="E322" t="s">
        <v>24</v>
      </c>
      <c r="F322">
        <v>3</v>
      </c>
      <c r="G322">
        <v>7369.4</v>
      </c>
      <c r="H322" t="s">
        <v>14</v>
      </c>
      <c r="I322">
        <f>Table1[[#This Row],[Qty]]*Table1[[#This Row],[Unit_Price]]</f>
        <v>22108.199999999997</v>
      </c>
    </row>
    <row r="323" spans="1:9" x14ac:dyDescent="0.25">
      <c r="A323">
        <v>10322</v>
      </c>
      <c r="B323" s="1">
        <v>45863</v>
      </c>
      <c r="C323" t="s">
        <v>21</v>
      </c>
      <c r="D323" t="s">
        <v>30</v>
      </c>
      <c r="E323" t="s">
        <v>11</v>
      </c>
      <c r="F323">
        <v>5</v>
      </c>
      <c r="G323">
        <v>50618.17</v>
      </c>
      <c r="H323" t="s">
        <v>18</v>
      </c>
      <c r="I323">
        <f>Table1[[#This Row],[Qty]]*Table1[[#This Row],[Unit_Price]]</f>
        <v>253090.84999999998</v>
      </c>
    </row>
    <row r="324" spans="1:9" x14ac:dyDescent="0.25">
      <c r="A324">
        <v>10323</v>
      </c>
      <c r="B324" s="1">
        <v>45695</v>
      </c>
      <c r="C324" t="s">
        <v>22</v>
      </c>
      <c r="D324" t="s">
        <v>31</v>
      </c>
      <c r="E324" t="s">
        <v>11</v>
      </c>
      <c r="F324">
        <v>5</v>
      </c>
      <c r="G324">
        <v>8910.64</v>
      </c>
      <c r="H324" t="s">
        <v>18</v>
      </c>
      <c r="I324">
        <f>Table1[[#This Row],[Qty]]*Table1[[#This Row],[Unit_Price]]</f>
        <v>44553.2</v>
      </c>
    </row>
    <row r="325" spans="1:9" x14ac:dyDescent="0.25">
      <c r="A325">
        <v>10324</v>
      </c>
      <c r="B325" s="1">
        <v>45977</v>
      </c>
      <c r="C325" t="s">
        <v>13</v>
      </c>
      <c r="D325" t="s">
        <v>10</v>
      </c>
      <c r="E325" t="s">
        <v>11</v>
      </c>
      <c r="F325">
        <v>2</v>
      </c>
      <c r="G325">
        <v>547.51</v>
      </c>
      <c r="H325" t="s">
        <v>18</v>
      </c>
      <c r="I325">
        <f>Table1[[#This Row],[Qty]]*Table1[[#This Row],[Unit_Price]]</f>
        <v>1095.02</v>
      </c>
    </row>
    <row r="326" spans="1:9" x14ac:dyDescent="0.25">
      <c r="A326">
        <v>10325</v>
      </c>
      <c r="B326" s="1">
        <v>45831</v>
      </c>
      <c r="C326" t="s">
        <v>22</v>
      </c>
      <c r="D326" t="s">
        <v>27</v>
      </c>
      <c r="E326" t="s">
        <v>24</v>
      </c>
      <c r="F326">
        <v>2</v>
      </c>
      <c r="G326">
        <v>11277.74</v>
      </c>
      <c r="H326" t="s">
        <v>28</v>
      </c>
      <c r="I326">
        <f>Table1[[#This Row],[Qty]]*Table1[[#This Row],[Unit_Price]]</f>
        <v>22555.48</v>
      </c>
    </row>
    <row r="327" spans="1:9" x14ac:dyDescent="0.25">
      <c r="A327">
        <v>10326</v>
      </c>
      <c r="B327" s="1">
        <v>45914</v>
      </c>
      <c r="C327" t="s">
        <v>34</v>
      </c>
      <c r="D327" t="s">
        <v>30</v>
      </c>
      <c r="E327" t="s">
        <v>11</v>
      </c>
      <c r="F327">
        <v>1</v>
      </c>
      <c r="G327">
        <v>45389.14</v>
      </c>
      <c r="H327" t="s">
        <v>18</v>
      </c>
      <c r="I327">
        <f>Table1[[#This Row],[Qty]]*Table1[[#This Row],[Unit_Price]]</f>
        <v>45389.14</v>
      </c>
    </row>
    <row r="328" spans="1:9" x14ac:dyDescent="0.25">
      <c r="A328">
        <v>10327</v>
      </c>
      <c r="B328" s="1">
        <v>45900</v>
      </c>
      <c r="C328" t="s">
        <v>22</v>
      </c>
      <c r="D328" t="s">
        <v>32</v>
      </c>
      <c r="E328" t="s">
        <v>11</v>
      </c>
      <c r="F328">
        <v>2</v>
      </c>
      <c r="G328">
        <v>2553.13</v>
      </c>
      <c r="H328" t="s">
        <v>12</v>
      </c>
      <c r="I328">
        <f>Table1[[#This Row],[Qty]]*Table1[[#This Row],[Unit_Price]]</f>
        <v>5106.26</v>
      </c>
    </row>
    <row r="329" spans="1:9" x14ac:dyDescent="0.25">
      <c r="A329">
        <v>10328</v>
      </c>
      <c r="B329" s="1">
        <v>45825</v>
      </c>
      <c r="C329" t="s">
        <v>15</v>
      </c>
      <c r="D329" t="s">
        <v>27</v>
      </c>
      <c r="E329" t="s">
        <v>24</v>
      </c>
      <c r="F329">
        <v>2</v>
      </c>
      <c r="G329">
        <v>11743.09</v>
      </c>
      <c r="H329" t="s">
        <v>18</v>
      </c>
      <c r="I329">
        <f>Table1[[#This Row],[Qty]]*Table1[[#This Row],[Unit_Price]]</f>
        <v>23486.18</v>
      </c>
    </row>
    <row r="330" spans="1:9" x14ac:dyDescent="0.25">
      <c r="A330">
        <v>10329</v>
      </c>
      <c r="B330" s="1">
        <v>45961</v>
      </c>
      <c r="C330" t="s">
        <v>22</v>
      </c>
      <c r="D330" t="s">
        <v>27</v>
      </c>
      <c r="E330" t="s">
        <v>24</v>
      </c>
      <c r="F330">
        <v>5</v>
      </c>
      <c r="G330">
        <v>12787.89</v>
      </c>
      <c r="H330" t="s">
        <v>28</v>
      </c>
      <c r="I330">
        <f>Table1[[#This Row],[Qty]]*Table1[[#This Row],[Unit_Price]]</f>
        <v>63939.45</v>
      </c>
    </row>
    <row r="331" spans="1:9" x14ac:dyDescent="0.25">
      <c r="A331">
        <v>10330</v>
      </c>
      <c r="B331" s="1">
        <v>46020</v>
      </c>
      <c r="C331" t="s">
        <v>21</v>
      </c>
      <c r="D331" t="s">
        <v>23</v>
      </c>
      <c r="E331" t="s">
        <v>24</v>
      </c>
      <c r="F331">
        <v>4</v>
      </c>
      <c r="G331">
        <v>7442.05</v>
      </c>
      <c r="H331" t="s">
        <v>18</v>
      </c>
      <c r="I331">
        <f>Table1[[#This Row],[Qty]]*Table1[[#This Row],[Unit_Price]]</f>
        <v>29768.2</v>
      </c>
    </row>
    <row r="332" spans="1:9" x14ac:dyDescent="0.25">
      <c r="A332">
        <v>10331</v>
      </c>
      <c r="B332" s="1">
        <v>46002</v>
      </c>
      <c r="C332" t="s">
        <v>34</v>
      </c>
      <c r="D332" t="s">
        <v>10</v>
      </c>
      <c r="E332" t="s">
        <v>11</v>
      </c>
      <c r="F332">
        <v>4</v>
      </c>
      <c r="G332">
        <v>508.37</v>
      </c>
      <c r="H332" t="s">
        <v>14</v>
      </c>
      <c r="I332">
        <f>Table1[[#This Row],[Qty]]*Table1[[#This Row],[Unit_Price]]</f>
        <v>2033.48</v>
      </c>
    </row>
    <row r="333" spans="1:9" x14ac:dyDescent="0.25">
      <c r="A333">
        <v>10332</v>
      </c>
      <c r="B333" s="1">
        <v>45963</v>
      </c>
      <c r="C333" t="s">
        <v>15</v>
      </c>
      <c r="D333" t="s">
        <v>32</v>
      </c>
      <c r="E333" t="s">
        <v>11</v>
      </c>
      <c r="F333">
        <v>3</v>
      </c>
      <c r="G333">
        <v>2733.54</v>
      </c>
      <c r="H333" t="s">
        <v>12</v>
      </c>
      <c r="I333">
        <f>Table1[[#This Row],[Qty]]*Table1[[#This Row],[Unit_Price]]</f>
        <v>8200.619999999999</v>
      </c>
    </row>
    <row r="334" spans="1:9" x14ac:dyDescent="0.25">
      <c r="A334">
        <v>10333</v>
      </c>
      <c r="B334" s="1">
        <v>45684</v>
      </c>
      <c r="C334" t="s">
        <v>34</v>
      </c>
      <c r="D334" t="s">
        <v>32</v>
      </c>
      <c r="E334" t="s">
        <v>11</v>
      </c>
      <c r="F334">
        <v>2</v>
      </c>
      <c r="G334">
        <v>2512.12</v>
      </c>
      <c r="H334" t="s">
        <v>28</v>
      </c>
      <c r="I334">
        <f>Table1[[#This Row],[Qty]]*Table1[[#This Row],[Unit_Price]]</f>
        <v>5024.24</v>
      </c>
    </row>
    <row r="335" spans="1:9" x14ac:dyDescent="0.25">
      <c r="A335">
        <v>10334</v>
      </c>
      <c r="B335" s="1">
        <v>45733</v>
      </c>
      <c r="C335" t="s">
        <v>34</v>
      </c>
      <c r="D335" t="s">
        <v>17</v>
      </c>
      <c r="E335" t="s">
        <v>11</v>
      </c>
      <c r="F335">
        <v>1</v>
      </c>
      <c r="G335">
        <v>12174.17</v>
      </c>
      <c r="H335" t="s">
        <v>14</v>
      </c>
      <c r="I335">
        <f>Table1[[#This Row],[Qty]]*Table1[[#This Row],[Unit_Price]]</f>
        <v>12174.17</v>
      </c>
    </row>
    <row r="336" spans="1:9" x14ac:dyDescent="0.25">
      <c r="A336">
        <v>10335</v>
      </c>
      <c r="B336" s="1">
        <v>45755</v>
      </c>
      <c r="C336" t="s">
        <v>19</v>
      </c>
      <c r="D336" t="s">
        <v>30</v>
      </c>
      <c r="E336" t="s">
        <v>11</v>
      </c>
      <c r="F336">
        <v>4</v>
      </c>
      <c r="G336">
        <v>48136.92</v>
      </c>
      <c r="H336" t="s">
        <v>28</v>
      </c>
      <c r="I336">
        <f>Table1[[#This Row],[Qty]]*Table1[[#This Row],[Unit_Price]]</f>
        <v>192547.68</v>
      </c>
    </row>
    <row r="337" spans="1:9" x14ac:dyDescent="0.25">
      <c r="A337">
        <v>10336</v>
      </c>
      <c r="B337" s="1">
        <v>46011</v>
      </c>
      <c r="C337" t="s">
        <v>15</v>
      </c>
      <c r="D337" t="s">
        <v>17</v>
      </c>
      <c r="E337" t="s">
        <v>11</v>
      </c>
      <c r="F337">
        <v>4</v>
      </c>
      <c r="G337">
        <v>12004.37</v>
      </c>
      <c r="H337" t="s">
        <v>28</v>
      </c>
      <c r="I337">
        <f>Table1[[#This Row],[Qty]]*Table1[[#This Row],[Unit_Price]]</f>
        <v>48017.48</v>
      </c>
    </row>
    <row r="338" spans="1:9" x14ac:dyDescent="0.25">
      <c r="A338">
        <v>10337</v>
      </c>
      <c r="B338" s="1">
        <v>45689</v>
      </c>
      <c r="C338" t="s">
        <v>21</v>
      </c>
      <c r="D338" t="s">
        <v>20</v>
      </c>
      <c r="E338" t="s">
        <v>11</v>
      </c>
      <c r="F338">
        <v>5</v>
      </c>
      <c r="G338">
        <v>1412.2</v>
      </c>
      <c r="H338" t="s">
        <v>28</v>
      </c>
      <c r="I338">
        <f>Table1[[#This Row],[Qty]]*Table1[[#This Row],[Unit_Price]]</f>
        <v>7061</v>
      </c>
    </row>
    <row r="339" spans="1:9" x14ac:dyDescent="0.25">
      <c r="A339">
        <v>10338</v>
      </c>
      <c r="B339" s="1">
        <v>45927</v>
      </c>
      <c r="C339" t="s">
        <v>16</v>
      </c>
      <c r="D339" t="s">
        <v>31</v>
      </c>
      <c r="E339" t="s">
        <v>11</v>
      </c>
      <c r="F339">
        <v>3</v>
      </c>
      <c r="G339">
        <v>9822.0300000000007</v>
      </c>
      <c r="H339" t="s">
        <v>18</v>
      </c>
      <c r="I339">
        <f>Table1[[#This Row],[Qty]]*Table1[[#This Row],[Unit_Price]]</f>
        <v>29466.090000000004</v>
      </c>
    </row>
    <row r="340" spans="1:9" x14ac:dyDescent="0.25">
      <c r="A340">
        <v>10339</v>
      </c>
      <c r="B340" s="1">
        <v>45937</v>
      </c>
      <c r="C340" t="s">
        <v>9</v>
      </c>
      <c r="D340" t="s">
        <v>27</v>
      </c>
      <c r="E340" t="s">
        <v>24</v>
      </c>
      <c r="F340">
        <v>3</v>
      </c>
      <c r="G340">
        <v>12264.18</v>
      </c>
      <c r="H340" t="s">
        <v>12</v>
      </c>
      <c r="I340">
        <f>Table1[[#This Row],[Qty]]*Table1[[#This Row],[Unit_Price]]</f>
        <v>36792.54</v>
      </c>
    </row>
    <row r="341" spans="1:9" x14ac:dyDescent="0.25">
      <c r="A341">
        <v>10340</v>
      </c>
      <c r="B341" s="1">
        <v>45800</v>
      </c>
      <c r="C341" t="s">
        <v>26</v>
      </c>
      <c r="D341" t="s">
        <v>23</v>
      </c>
      <c r="E341" t="s">
        <v>24</v>
      </c>
      <c r="F341">
        <v>2</v>
      </c>
      <c r="G341">
        <v>7618.08</v>
      </c>
      <c r="H341" t="s">
        <v>18</v>
      </c>
      <c r="I341">
        <f>Table1[[#This Row],[Qty]]*Table1[[#This Row],[Unit_Price]]</f>
        <v>15236.16</v>
      </c>
    </row>
    <row r="342" spans="1:9" x14ac:dyDescent="0.25">
      <c r="A342">
        <v>10341</v>
      </c>
      <c r="B342" s="1">
        <v>46018</v>
      </c>
      <c r="C342" t="s">
        <v>21</v>
      </c>
      <c r="D342" t="s">
        <v>17</v>
      </c>
      <c r="E342" t="s">
        <v>11</v>
      </c>
      <c r="F342">
        <v>4</v>
      </c>
      <c r="G342">
        <v>11560.9</v>
      </c>
      <c r="H342" t="s">
        <v>18</v>
      </c>
      <c r="I342">
        <f>Table1[[#This Row],[Qty]]*Table1[[#This Row],[Unit_Price]]</f>
        <v>46243.6</v>
      </c>
    </row>
    <row r="343" spans="1:9" x14ac:dyDescent="0.25">
      <c r="A343">
        <v>10342</v>
      </c>
      <c r="B343" s="1">
        <v>45805</v>
      </c>
      <c r="C343" t="s">
        <v>13</v>
      </c>
      <c r="D343" t="s">
        <v>10</v>
      </c>
      <c r="E343" t="s">
        <v>11</v>
      </c>
      <c r="F343">
        <v>5</v>
      </c>
      <c r="G343">
        <v>517.66</v>
      </c>
      <c r="H343" t="s">
        <v>28</v>
      </c>
      <c r="I343">
        <f>Table1[[#This Row],[Qty]]*Table1[[#This Row],[Unit_Price]]</f>
        <v>2588.2999999999997</v>
      </c>
    </row>
    <row r="344" spans="1:9" x14ac:dyDescent="0.25">
      <c r="A344">
        <v>10343</v>
      </c>
      <c r="B344" s="1">
        <v>45834</v>
      </c>
      <c r="C344" t="s">
        <v>34</v>
      </c>
      <c r="D344" t="s">
        <v>20</v>
      </c>
      <c r="E344" t="s">
        <v>11</v>
      </c>
      <c r="F344">
        <v>3</v>
      </c>
      <c r="G344">
        <v>1362.62</v>
      </c>
      <c r="H344" t="s">
        <v>14</v>
      </c>
      <c r="I344">
        <f>Table1[[#This Row],[Qty]]*Table1[[#This Row],[Unit_Price]]</f>
        <v>4087.8599999999997</v>
      </c>
    </row>
    <row r="345" spans="1:9" x14ac:dyDescent="0.25">
      <c r="A345">
        <v>10344</v>
      </c>
      <c r="B345" s="1">
        <v>45835</v>
      </c>
      <c r="C345" t="s">
        <v>9</v>
      </c>
      <c r="D345" t="s">
        <v>32</v>
      </c>
      <c r="E345" t="s">
        <v>11</v>
      </c>
      <c r="F345">
        <v>3</v>
      </c>
      <c r="G345">
        <v>2623.67</v>
      </c>
      <c r="H345" t="s">
        <v>12</v>
      </c>
      <c r="I345">
        <f>Table1[[#This Row],[Qty]]*Table1[[#This Row],[Unit_Price]]</f>
        <v>7871.01</v>
      </c>
    </row>
    <row r="346" spans="1:9" x14ac:dyDescent="0.25">
      <c r="A346">
        <v>10345</v>
      </c>
      <c r="B346" s="1">
        <v>45933</v>
      </c>
      <c r="C346" t="s">
        <v>19</v>
      </c>
      <c r="D346" t="s">
        <v>23</v>
      </c>
      <c r="E346" t="s">
        <v>24</v>
      </c>
      <c r="F346">
        <v>5</v>
      </c>
      <c r="G346">
        <v>7274.64</v>
      </c>
      <c r="H346" t="s">
        <v>14</v>
      </c>
      <c r="I346">
        <f>Table1[[#This Row],[Qty]]*Table1[[#This Row],[Unit_Price]]</f>
        <v>36373.200000000004</v>
      </c>
    </row>
    <row r="347" spans="1:9" x14ac:dyDescent="0.25">
      <c r="A347">
        <v>10346</v>
      </c>
      <c r="B347" s="1">
        <v>45973</v>
      </c>
      <c r="C347" t="s">
        <v>22</v>
      </c>
      <c r="D347" t="s">
        <v>17</v>
      </c>
      <c r="E347" t="s">
        <v>11</v>
      </c>
      <c r="F347">
        <v>2</v>
      </c>
      <c r="G347">
        <v>10921.84</v>
      </c>
      <c r="H347" t="s">
        <v>12</v>
      </c>
      <c r="I347">
        <f>Table1[[#This Row],[Qty]]*Table1[[#This Row],[Unit_Price]]</f>
        <v>21843.68</v>
      </c>
    </row>
    <row r="348" spans="1:9" x14ac:dyDescent="0.25">
      <c r="A348">
        <v>10347</v>
      </c>
      <c r="B348" s="1">
        <v>45984</v>
      </c>
      <c r="C348" t="s">
        <v>21</v>
      </c>
      <c r="D348" t="s">
        <v>17</v>
      </c>
      <c r="E348" t="s">
        <v>11</v>
      </c>
      <c r="F348">
        <v>1</v>
      </c>
      <c r="G348">
        <v>11040.48</v>
      </c>
      <c r="H348" t="s">
        <v>28</v>
      </c>
      <c r="I348">
        <f>Table1[[#This Row],[Qty]]*Table1[[#This Row],[Unit_Price]]</f>
        <v>11040.48</v>
      </c>
    </row>
    <row r="349" spans="1:9" x14ac:dyDescent="0.25">
      <c r="A349">
        <v>10348</v>
      </c>
      <c r="B349" s="1">
        <v>45709</v>
      </c>
      <c r="C349" t="s">
        <v>19</v>
      </c>
      <c r="D349" t="s">
        <v>20</v>
      </c>
      <c r="E349" t="s">
        <v>11</v>
      </c>
      <c r="F349">
        <v>1</v>
      </c>
      <c r="G349">
        <v>1639.36</v>
      </c>
      <c r="H349" t="s">
        <v>28</v>
      </c>
      <c r="I349">
        <f>Table1[[#This Row],[Qty]]*Table1[[#This Row],[Unit_Price]]</f>
        <v>1639.36</v>
      </c>
    </row>
    <row r="350" spans="1:9" x14ac:dyDescent="0.25">
      <c r="A350">
        <v>10349</v>
      </c>
      <c r="B350" s="1">
        <v>45992</v>
      </c>
      <c r="C350" t="s">
        <v>26</v>
      </c>
      <c r="D350" t="s">
        <v>32</v>
      </c>
      <c r="E350" t="s">
        <v>11</v>
      </c>
      <c r="F350">
        <v>4</v>
      </c>
      <c r="G350">
        <v>2575.27</v>
      </c>
      <c r="H350" t="s">
        <v>18</v>
      </c>
      <c r="I350">
        <f>Table1[[#This Row],[Qty]]*Table1[[#This Row],[Unit_Price]]</f>
        <v>10301.08</v>
      </c>
    </row>
    <row r="351" spans="1:9" x14ac:dyDescent="0.25">
      <c r="A351">
        <v>10350</v>
      </c>
      <c r="B351" s="1">
        <v>45804</v>
      </c>
      <c r="C351" t="s">
        <v>9</v>
      </c>
      <c r="D351" t="s">
        <v>30</v>
      </c>
      <c r="E351" t="s">
        <v>11</v>
      </c>
      <c r="F351">
        <v>1</v>
      </c>
      <c r="G351">
        <v>51522.99</v>
      </c>
      <c r="H351" t="s">
        <v>14</v>
      </c>
      <c r="I351">
        <f>Table1[[#This Row],[Qty]]*Table1[[#This Row],[Unit_Price]]</f>
        <v>51522.99</v>
      </c>
    </row>
    <row r="352" spans="1:9" x14ac:dyDescent="0.25">
      <c r="A352">
        <v>10351</v>
      </c>
      <c r="B352" s="1">
        <v>45747</v>
      </c>
      <c r="C352" t="s">
        <v>33</v>
      </c>
      <c r="D352" t="s">
        <v>31</v>
      </c>
      <c r="E352" t="s">
        <v>11</v>
      </c>
      <c r="F352">
        <v>2</v>
      </c>
      <c r="G352">
        <v>9781.06</v>
      </c>
      <c r="H352" t="s">
        <v>28</v>
      </c>
      <c r="I352">
        <f>Table1[[#This Row],[Qty]]*Table1[[#This Row],[Unit_Price]]</f>
        <v>19562.12</v>
      </c>
    </row>
    <row r="353" spans="1:9" x14ac:dyDescent="0.25">
      <c r="A353">
        <v>10352</v>
      </c>
      <c r="B353" s="1">
        <v>45911</v>
      </c>
      <c r="C353" t="s">
        <v>33</v>
      </c>
      <c r="D353" t="s">
        <v>20</v>
      </c>
      <c r="E353" t="s">
        <v>11</v>
      </c>
      <c r="F353">
        <v>3</v>
      </c>
      <c r="G353">
        <v>1613.02</v>
      </c>
      <c r="H353" t="s">
        <v>18</v>
      </c>
      <c r="I353">
        <f>Table1[[#This Row],[Qty]]*Table1[[#This Row],[Unit_Price]]</f>
        <v>4839.0599999999995</v>
      </c>
    </row>
    <row r="354" spans="1:9" x14ac:dyDescent="0.25">
      <c r="A354">
        <v>10353</v>
      </c>
      <c r="B354" s="1">
        <v>45948</v>
      </c>
      <c r="C354" t="s">
        <v>25</v>
      </c>
      <c r="D354" t="s">
        <v>10</v>
      </c>
      <c r="E354" t="s">
        <v>11</v>
      </c>
      <c r="F354">
        <v>3</v>
      </c>
      <c r="G354">
        <v>478.46</v>
      </c>
      <c r="H354" t="s">
        <v>28</v>
      </c>
      <c r="I354">
        <f>Table1[[#This Row],[Qty]]*Table1[[#This Row],[Unit_Price]]</f>
        <v>1435.3799999999999</v>
      </c>
    </row>
    <row r="355" spans="1:9" x14ac:dyDescent="0.25">
      <c r="A355">
        <v>10354</v>
      </c>
      <c r="B355" s="1">
        <v>45726</v>
      </c>
      <c r="C355" t="s">
        <v>29</v>
      </c>
      <c r="D355" t="s">
        <v>32</v>
      </c>
      <c r="E355" t="s">
        <v>11</v>
      </c>
      <c r="F355">
        <v>3</v>
      </c>
      <c r="G355">
        <v>2346.41</v>
      </c>
      <c r="H355" t="s">
        <v>18</v>
      </c>
      <c r="I355">
        <f>Table1[[#This Row],[Qty]]*Table1[[#This Row],[Unit_Price]]</f>
        <v>7039.23</v>
      </c>
    </row>
    <row r="356" spans="1:9" x14ac:dyDescent="0.25">
      <c r="A356">
        <v>10355</v>
      </c>
      <c r="B356" s="1">
        <v>45741</v>
      </c>
      <c r="C356" t="s">
        <v>33</v>
      </c>
      <c r="D356" t="s">
        <v>32</v>
      </c>
      <c r="E356" t="s">
        <v>11</v>
      </c>
      <c r="F356">
        <v>3</v>
      </c>
      <c r="G356">
        <v>2609.3000000000002</v>
      </c>
      <c r="H356" t="s">
        <v>18</v>
      </c>
      <c r="I356">
        <f>Table1[[#This Row],[Qty]]*Table1[[#This Row],[Unit_Price]]</f>
        <v>7827.9000000000005</v>
      </c>
    </row>
    <row r="357" spans="1:9" x14ac:dyDescent="0.25">
      <c r="A357">
        <v>10356</v>
      </c>
      <c r="B357" s="1">
        <v>45809</v>
      </c>
      <c r="C357" t="s">
        <v>25</v>
      </c>
      <c r="D357" t="s">
        <v>17</v>
      </c>
      <c r="E357" t="s">
        <v>11</v>
      </c>
      <c r="F357">
        <v>2</v>
      </c>
      <c r="G357">
        <v>12266.29</v>
      </c>
      <c r="H357" t="s">
        <v>28</v>
      </c>
      <c r="I357">
        <f>Table1[[#This Row],[Qty]]*Table1[[#This Row],[Unit_Price]]</f>
        <v>24532.58</v>
      </c>
    </row>
    <row r="358" spans="1:9" x14ac:dyDescent="0.25">
      <c r="A358">
        <v>10357</v>
      </c>
      <c r="B358" s="1">
        <v>45876</v>
      </c>
      <c r="C358" t="s">
        <v>29</v>
      </c>
      <c r="D358" t="s">
        <v>27</v>
      </c>
      <c r="E358" t="s">
        <v>24</v>
      </c>
      <c r="F358">
        <v>1</v>
      </c>
      <c r="G358">
        <v>11762</v>
      </c>
      <c r="H358" t="s">
        <v>12</v>
      </c>
      <c r="I358">
        <f>Table1[[#This Row],[Qty]]*Table1[[#This Row],[Unit_Price]]</f>
        <v>11762</v>
      </c>
    </row>
    <row r="359" spans="1:9" x14ac:dyDescent="0.25">
      <c r="A359">
        <v>10358</v>
      </c>
      <c r="B359" s="1">
        <v>45729</v>
      </c>
      <c r="C359" t="s">
        <v>33</v>
      </c>
      <c r="D359" t="s">
        <v>32</v>
      </c>
      <c r="E359" t="s">
        <v>11</v>
      </c>
      <c r="F359">
        <v>3</v>
      </c>
      <c r="G359">
        <v>2717.91</v>
      </c>
      <c r="H359" t="s">
        <v>18</v>
      </c>
      <c r="I359">
        <f>Table1[[#This Row],[Qty]]*Table1[[#This Row],[Unit_Price]]</f>
        <v>8153.73</v>
      </c>
    </row>
    <row r="360" spans="1:9" x14ac:dyDescent="0.25">
      <c r="A360">
        <v>10359</v>
      </c>
      <c r="B360" s="1">
        <v>45854</v>
      </c>
      <c r="C360" t="s">
        <v>21</v>
      </c>
      <c r="D360" t="s">
        <v>17</v>
      </c>
      <c r="E360" t="s">
        <v>11</v>
      </c>
      <c r="F360">
        <v>4</v>
      </c>
      <c r="G360">
        <v>12609.02</v>
      </c>
      <c r="H360" t="s">
        <v>18</v>
      </c>
      <c r="I360">
        <f>Table1[[#This Row],[Qty]]*Table1[[#This Row],[Unit_Price]]</f>
        <v>50436.08</v>
      </c>
    </row>
    <row r="361" spans="1:9" x14ac:dyDescent="0.25">
      <c r="A361">
        <v>10360</v>
      </c>
      <c r="B361" s="1">
        <v>45956</v>
      </c>
      <c r="C361" t="s">
        <v>34</v>
      </c>
      <c r="D361" t="s">
        <v>30</v>
      </c>
      <c r="E361" t="s">
        <v>11</v>
      </c>
      <c r="F361">
        <v>3</v>
      </c>
      <c r="G361">
        <v>51536.83</v>
      </c>
      <c r="H361" t="s">
        <v>12</v>
      </c>
      <c r="I361">
        <f>Table1[[#This Row],[Qty]]*Table1[[#This Row],[Unit_Price]]</f>
        <v>154610.49</v>
      </c>
    </row>
    <row r="362" spans="1:9" x14ac:dyDescent="0.25">
      <c r="A362">
        <v>10361</v>
      </c>
      <c r="B362" s="1">
        <v>45689</v>
      </c>
      <c r="C362" t="s">
        <v>13</v>
      </c>
      <c r="D362" t="s">
        <v>10</v>
      </c>
      <c r="E362" t="s">
        <v>11</v>
      </c>
      <c r="F362">
        <v>4</v>
      </c>
      <c r="G362">
        <v>480.68</v>
      </c>
      <c r="H362" t="s">
        <v>18</v>
      </c>
      <c r="I362">
        <f>Table1[[#This Row],[Qty]]*Table1[[#This Row],[Unit_Price]]</f>
        <v>1922.72</v>
      </c>
    </row>
    <row r="363" spans="1:9" x14ac:dyDescent="0.25">
      <c r="A363">
        <v>10362</v>
      </c>
      <c r="B363" s="1">
        <v>46011</v>
      </c>
      <c r="C363" t="s">
        <v>9</v>
      </c>
      <c r="D363" t="s">
        <v>10</v>
      </c>
      <c r="E363" t="s">
        <v>11</v>
      </c>
      <c r="F363">
        <v>3</v>
      </c>
      <c r="G363">
        <v>486.75</v>
      </c>
      <c r="H363" t="s">
        <v>12</v>
      </c>
      <c r="I363">
        <f>Table1[[#This Row],[Qty]]*Table1[[#This Row],[Unit_Price]]</f>
        <v>1460.25</v>
      </c>
    </row>
    <row r="364" spans="1:9" x14ac:dyDescent="0.25">
      <c r="A364">
        <v>10363</v>
      </c>
      <c r="B364" s="1">
        <v>45726</v>
      </c>
      <c r="C364" t="s">
        <v>15</v>
      </c>
      <c r="D364" t="s">
        <v>32</v>
      </c>
      <c r="E364" t="s">
        <v>11</v>
      </c>
      <c r="F364">
        <v>2</v>
      </c>
      <c r="G364">
        <v>2477.4899999999998</v>
      </c>
      <c r="H364" t="s">
        <v>18</v>
      </c>
      <c r="I364">
        <f>Table1[[#This Row],[Qty]]*Table1[[#This Row],[Unit_Price]]</f>
        <v>4954.9799999999996</v>
      </c>
    </row>
    <row r="365" spans="1:9" x14ac:dyDescent="0.25">
      <c r="A365">
        <v>10364</v>
      </c>
      <c r="B365" s="1">
        <v>45870</v>
      </c>
      <c r="C365" t="s">
        <v>9</v>
      </c>
      <c r="D365" t="s">
        <v>32</v>
      </c>
      <c r="E365" t="s">
        <v>11</v>
      </c>
      <c r="F365">
        <v>5</v>
      </c>
      <c r="G365">
        <v>2651</v>
      </c>
      <c r="H365" t="s">
        <v>12</v>
      </c>
      <c r="I365">
        <f>Table1[[#This Row],[Qty]]*Table1[[#This Row],[Unit_Price]]</f>
        <v>13255</v>
      </c>
    </row>
    <row r="366" spans="1:9" x14ac:dyDescent="0.25">
      <c r="A366">
        <v>10365</v>
      </c>
      <c r="B366" s="1">
        <v>46006</v>
      </c>
      <c r="C366" t="s">
        <v>34</v>
      </c>
      <c r="D366" t="s">
        <v>10</v>
      </c>
      <c r="E366" t="s">
        <v>11</v>
      </c>
      <c r="F366">
        <v>5</v>
      </c>
      <c r="G366">
        <v>494.67</v>
      </c>
      <c r="H366" t="s">
        <v>18</v>
      </c>
      <c r="I366">
        <f>Table1[[#This Row],[Qty]]*Table1[[#This Row],[Unit_Price]]</f>
        <v>2473.35</v>
      </c>
    </row>
    <row r="367" spans="1:9" x14ac:dyDescent="0.25">
      <c r="A367">
        <v>10366</v>
      </c>
      <c r="B367" s="1">
        <v>45697</v>
      </c>
      <c r="C367" t="s">
        <v>22</v>
      </c>
      <c r="D367" t="s">
        <v>10</v>
      </c>
      <c r="E367" t="s">
        <v>11</v>
      </c>
      <c r="F367">
        <v>1</v>
      </c>
      <c r="G367">
        <v>532.88</v>
      </c>
      <c r="H367" t="s">
        <v>12</v>
      </c>
      <c r="I367">
        <f>Table1[[#This Row],[Qty]]*Table1[[#This Row],[Unit_Price]]</f>
        <v>532.88</v>
      </c>
    </row>
    <row r="368" spans="1:9" x14ac:dyDescent="0.25">
      <c r="A368">
        <v>10367</v>
      </c>
      <c r="B368" s="1">
        <v>45951</v>
      </c>
      <c r="C368" t="s">
        <v>22</v>
      </c>
      <c r="D368" t="s">
        <v>20</v>
      </c>
      <c r="E368" t="s">
        <v>11</v>
      </c>
      <c r="F368">
        <v>2</v>
      </c>
      <c r="G368">
        <v>1448.44</v>
      </c>
      <c r="H368" t="s">
        <v>28</v>
      </c>
      <c r="I368">
        <f>Table1[[#This Row],[Qty]]*Table1[[#This Row],[Unit_Price]]</f>
        <v>2896.88</v>
      </c>
    </row>
    <row r="369" spans="1:9" x14ac:dyDescent="0.25">
      <c r="A369">
        <v>10368</v>
      </c>
      <c r="B369" s="1">
        <v>45717</v>
      </c>
      <c r="C369" t="s">
        <v>22</v>
      </c>
      <c r="D369" t="s">
        <v>17</v>
      </c>
      <c r="E369" t="s">
        <v>11</v>
      </c>
      <c r="F369">
        <v>5</v>
      </c>
      <c r="G369">
        <v>11973.19</v>
      </c>
      <c r="H369" t="s">
        <v>28</v>
      </c>
      <c r="I369">
        <f>Table1[[#This Row],[Qty]]*Table1[[#This Row],[Unit_Price]]</f>
        <v>59865.950000000004</v>
      </c>
    </row>
    <row r="370" spans="1:9" x14ac:dyDescent="0.25">
      <c r="A370">
        <v>10369</v>
      </c>
      <c r="B370" s="1">
        <v>45686</v>
      </c>
      <c r="C370" t="s">
        <v>16</v>
      </c>
      <c r="D370" t="s">
        <v>32</v>
      </c>
      <c r="E370" t="s">
        <v>11</v>
      </c>
      <c r="F370">
        <v>2</v>
      </c>
      <c r="G370">
        <v>2506.62</v>
      </c>
      <c r="H370" t="s">
        <v>14</v>
      </c>
      <c r="I370">
        <f>Table1[[#This Row],[Qty]]*Table1[[#This Row],[Unit_Price]]</f>
        <v>5013.24</v>
      </c>
    </row>
    <row r="371" spans="1:9" x14ac:dyDescent="0.25">
      <c r="A371">
        <v>10370</v>
      </c>
      <c r="B371" s="1">
        <v>45944</v>
      </c>
      <c r="C371" t="s">
        <v>13</v>
      </c>
      <c r="D371" t="s">
        <v>32</v>
      </c>
      <c r="E371" t="s">
        <v>11</v>
      </c>
      <c r="F371">
        <v>3</v>
      </c>
      <c r="G371">
        <v>2611.64</v>
      </c>
      <c r="H371" t="s">
        <v>18</v>
      </c>
      <c r="I371">
        <f>Table1[[#This Row],[Qty]]*Table1[[#This Row],[Unit_Price]]</f>
        <v>7834.92</v>
      </c>
    </row>
    <row r="372" spans="1:9" x14ac:dyDescent="0.25">
      <c r="A372">
        <v>10371</v>
      </c>
      <c r="B372" s="1">
        <v>45659</v>
      </c>
      <c r="C372" t="s">
        <v>13</v>
      </c>
      <c r="D372" t="s">
        <v>17</v>
      </c>
      <c r="E372" t="s">
        <v>11</v>
      </c>
      <c r="F372">
        <v>5</v>
      </c>
      <c r="G372">
        <v>10975.27</v>
      </c>
      <c r="H372" t="s">
        <v>18</v>
      </c>
      <c r="I372">
        <f>Table1[[#This Row],[Qty]]*Table1[[#This Row],[Unit_Price]]</f>
        <v>54876.350000000006</v>
      </c>
    </row>
    <row r="373" spans="1:9" x14ac:dyDescent="0.25">
      <c r="A373">
        <v>10372</v>
      </c>
      <c r="B373" s="1">
        <v>46016</v>
      </c>
      <c r="C373" t="s">
        <v>29</v>
      </c>
      <c r="D373" t="s">
        <v>10</v>
      </c>
      <c r="E373" t="s">
        <v>11</v>
      </c>
      <c r="F373">
        <v>5</v>
      </c>
      <c r="G373">
        <v>549.41</v>
      </c>
      <c r="H373" t="s">
        <v>28</v>
      </c>
      <c r="I373">
        <f>Table1[[#This Row],[Qty]]*Table1[[#This Row],[Unit_Price]]</f>
        <v>2747.0499999999997</v>
      </c>
    </row>
    <row r="374" spans="1:9" x14ac:dyDescent="0.25">
      <c r="A374">
        <v>10373</v>
      </c>
      <c r="B374" s="1">
        <v>45674</v>
      </c>
      <c r="C374" t="s">
        <v>19</v>
      </c>
      <c r="D374" t="s">
        <v>23</v>
      </c>
      <c r="E374" t="s">
        <v>24</v>
      </c>
      <c r="F374">
        <v>4</v>
      </c>
      <c r="G374">
        <v>6551.97</v>
      </c>
      <c r="H374" t="s">
        <v>28</v>
      </c>
      <c r="I374">
        <f>Table1[[#This Row],[Qty]]*Table1[[#This Row],[Unit_Price]]</f>
        <v>26207.88</v>
      </c>
    </row>
    <row r="375" spans="1:9" x14ac:dyDescent="0.25">
      <c r="A375">
        <v>10374</v>
      </c>
      <c r="B375" s="1">
        <v>45849</v>
      </c>
      <c r="C375" t="s">
        <v>13</v>
      </c>
      <c r="D375" t="s">
        <v>31</v>
      </c>
      <c r="E375" t="s">
        <v>11</v>
      </c>
      <c r="F375">
        <v>4</v>
      </c>
      <c r="G375">
        <v>9665.32</v>
      </c>
      <c r="H375" t="s">
        <v>28</v>
      </c>
      <c r="I375">
        <f>Table1[[#This Row],[Qty]]*Table1[[#This Row],[Unit_Price]]</f>
        <v>38661.279999999999</v>
      </c>
    </row>
    <row r="376" spans="1:9" x14ac:dyDescent="0.25">
      <c r="A376">
        <v>10375</v>
      </c>
      <c r="B376" s="1">
        <v>45699</v>
      </c>
      <c r="C376" t="s">
        <v>22</v>
      </c>
      <c r="D376" t="s">
        <v>20</v>
      </c>
      <c r="E376" t="s">
        <v>11</v>
      </c>
      <c r="F376">
        <v>3</v>
      </c>
      <c r="G376">
        <v>1385.59</v>
      </c>
      <c r="H376" t="s">
        <v>28</v>
      </c>
      <c r="I376">
        <f>Table1[[#This Row],[Qty]]*Table1[[#This Row],[Unit_Price]]</f>
        <v>4156.7699999999995</v>
      </c>
    </row>
    <row r="377" spans="1:9" x14ac:dyDescent="0.25">
      <c r="A377">
        <v>10376</v>
      </c>
      <c r="B377" s="1">
        <v>45928</v>
      </c>
      <c r="C377" t="s">
        <v>33</v>
      </c>
      <c r="D377" t="s">
        <v>20</v>
      </c>
      <c r="E377" t="s">
        <v>11</v>
      </c>
      <c r="F377">
        <v>2</v>
      </c>
      <c r="G377">
        <v>1600.45</v>
      </c>
      <c r="H377" t="s">
        <v>18</v>
      </c>
      <c r="I377">
        <f>Table1[[#This Row],[Qty]]*Table1[[#This Row],[Unit_Price]]</f>
        <v>3200.9</v>
      </c>
    </row>
    <row r="378" spans="1:9" x14ac:dyDescent="0.25">
      <c r="A378">
        <v>10377</v>
      </c>
      <c r="B378" s="1">
        <v>45895</v>
      </c>
      <c r="C378" t="s">
        <v>9</v>
      </c>
      <c r="D378" t="s">
        <v>31</v>
      </c>
      <c r="E378" t="s">
        <v>11</v>
      </c>
      <c r="F378">
        <v>5</v>
      </c>
      <c r="G378">
        <v>8782.7000000000007</v>
      </c>
      <c r="H378" t="s">
        <v>12</v>
      </c>
      <c r="I378">
        <f>Table1[[#This Row],[Qty]]*Table1[[#This Row],[Unit_Price]]</f>
        <v>43913.5</v>
      </c>
    </row>
    <row r="379" spans="1:9" x14ac:dyDescent="0.25">
      <c r="A379">
        <v>10378</v>
      </c>
      <c r="B379" s="1">
        <v>45893</v>
      </c>
      <c r="C379" t="s">
        <v>34</v>
      </c>
      <c r="D379" t="s">
        <v>27</v>
      </c>
      <c r="E379" t="s">
        <v>24</v>
      </c>
      <c r="F379">
        <v>2</v>
      </c>
      <c r="G379">
        <v>11461.56</v>
      </c>
      <c r="H379" t="s">
        <v>14</v>
      </c>
      <c r="I379">
        <f>Table1[[#This Row],[Qty]]*Table1[[#This Row],[Unit_Price]]</f>
        <v>22923.119999999999</v>
      </c>
    </row>
    <row r="380" spans="1:9" x14ac:dyDescent="0.25">
      <c r="A380">
        <v>10379</v>
      </c>
      <c r="B380" s="1">
        <v>45674</v>
      </c>
      <c r="C380" t="s">
        <v>33</v>
      </c>
      <c r="D380" t="s">
        <v>31</v>
      </c>
      <c r="E380" t="s">
        <v>11</v>
      </c>
      <c r="F380">
        <v>5</v>
      </c>
      <c r="G380">
        <v>9478.9</v>
      </c>
      <c r="H380" t="s">
        <v>12</v>
      </c>
      <c r="I380">
        <f>Table1[[#This Row],[Qty]]*Table1[[#This Row],[Unit_Price]]</f>
        <v>47394.5</v>
      </c>
    </row>
    <row r="381" spans="1:9" x14ac:dyDescent="0.25">
      <c r="A381">
        <v>10380</v>
      </c>
      <c r="B381" s="1">
        <v>45763</v>
      </c>
      <c r="C381" t="s">
        <v>16</v>
      </c>
      <c r="D381" t="s">
        <v>10</v>
      </c>
      <c r="E381" t="s">
        <v>11</v>
      </c>
      <c r="F381">
        <v>1</v>
      </c>
      <c r="G381">
        <v>509.39</v>
      </c>
      <c r="H381" t="s">
        <v>14</v>
      </c>
      <c r="I381">
        <f>Table1[[#This Row],[Qty]]*Table1[[#This Row],[Unit_Price]]</f>
        <v>509.39</v>
      </c>
    </row>
    <row r="382" spans="1:9" x14ac:dyDescent="0.25">
      <c r="A382">
        <v>10381</v>
      </c>
      <c r="B382" s="1">
        <v>45783</v>
      </c>
      <c r="C382" t="s">
        <v>22</v>
      </c>
      <c r="D382" t="s">
        <v>30</v>
      </c>
      <c r="E382" t="s">
        <v>11</v>
      </c>
      <c r="F382">
        <v>4</v>
      </c>
      <c r="G382">
        <v>49389.63</v>
      </c>
      <c r="H382" t="s">
        <v>12</v>
      </c>
      <c r="I382">
        <f>Table1[[#This Row],[Qty]]*Table1[[#This Row],[Unit_Price]]</f>
        <v>197558.52</v>
      </c>
    </row>
    <row r="383" spans="1:9" x14ac:dyDescent="0.25">
      <c r="A383">
        <v>10382</v>
      </c>
      <c r="B383" s="1">
        <v>45686</v>
      </c>
      <c r="C383" t="s">
        <v>9</v>
      </c>
      <c r="D383" t="s">
        <v>20</v>
      </c>
      <c r="E383" t="s">
        <v>11</v>
      </c>
      <c r="F383">
        <v>5</v>
      </c>
      <c r="G383">
        <v>1648.05</v>
      </c>
      <c r="H383" t="s">
        <v>18</v>
      </c>
      <c r="I383">
        <f>Table1[[#This Row],[Qty]]*Table1[[#This Row],[Unit_Price]]</f>
        <v>8240.25</v>
      </c>
    </row>
    <row r="384" spans="1:9" x14ac:dyDescent="0.25">
      <c r="A384">
        <v>10383</v>
      </c>
      <c r="B384" s="1">
        <v>45953</v>
      </c>
      <c r="C384" t="s">
        <v>19</v>
      </c>
      <c r="D384" t="s">
        <v>27</v>
      </c>
      <c r="E384" t="s">
        <v>24</v>
      </c>
      <c r="F384">
        <v>2</v>
      </c>
      <c r="G384">
        <v>11524.23</v>
      </c>
      <c r="H384" t="s">
        <v>12</v>
      </c>
      <c r="I384">
        <f>Table1[[#This Row],[Qty]]*Table1[[#This Row],[Unit_Price]]</f>
        <v>23048.46</v>
      </c>
    </row>
    <row r="385" spans="1:9" x14ac:dyDescent="0.25">
      <c r="A385">
        <v>10384</v>
      </c>
      <c r="B385" s="1">
        <v>45869</v>
      </c>
      <c r="C385" t="s">
        <v>15</v>
      </c>
      <c r="D385" t="s">
        <v>23</v>
      </c>
      <c r="E385" t="s">
        <v>24</v>
      </c>
      <c r="F385">
        <v>3</v>
      </c>
      <c r="G385">
        <v>6385.34</v>
      </c>
      <c r="H385" t="s">
        <v>12</v>
      </c>
      <c r="I385">
        <f>Table1[[#This Row],[Qty]]*Table1[[#This Row],[Unit_Price]]</f>
        <v>19156.02</v>
      </c>
    </row>
    <row r="386" spans="1:9" x14ac:dyDescent="0.25">
      <c r="A386">
        <v>10385</v>
      </c>
      <c r="B386" s="1">
        <v>45978</v>
      </c>
      <c r="C386" t="s">
        <v>21</v>
      </c>
      <c r="D386" t="s">
        <v>31</v>
      </c>
      <c r="E386" t="s">
        <v>11</v>
      </c>
      <c r="F386">
        <v>5</v>
      </c>
      <c r="G386">
        <v>8992.1200000000008</v>
      </c>
      <c r="H386" t="s">
        <v>28</v>
      </c>
      <c r="I386">
        <f>Table1[[#This Row],[Qty]]*Table1[[#This Row],[Unit_Price]]</f>
        <v>44960.600000000006</v>
      </c>
    </row>
    <row r="387" spans="1:9" x14ac:dyDescent="0.25">
      <c r="A387">
        <v>10386</v>
      </c>
      <c r="B387" s="1">
        <v>45926</v>
      </c>
      <c r="C387" t="s">
        <v>26</v>
      </c>
      <c r="D387" t="s">
        <v>27</v>
      </c>
      <c r="E387" t="s">
        <v>24</v>
      </c>
      <c r="F387">
        <v>4</v>
      </c>
      <c r="G387">
        <v>11779.82</v>
      </c>
      <c r="H387" t="s">
        <v>28</v>
      </c>
      <c r="I387">
        <f>Table1[[#This Row],[Qty]]*Table1[[#This Row],[Unit_Price]]</f>
        <v>47119.28</v>
      </c>
    </row>
    <row r="388" spans="1:9" x14ac:dyDescent="0.25">
      <c r="A388">
        <v>10387</v>
      </c>
      <c r="B388" s="1">
        <v>45752</v>
      </c>
      <c r="C388" t="s">
        <v>26</v>
      </c>
      <c r="D388" t="s">
        <v>32</v>
      </c>
      <c r="E388" t="s">
        <v>11</v>
      </c>
      <c r="F388">
        <v>2</v>
      </c>
      <c r="G388">
        <v>2674.67</v>
      </c>
      <c r="H388" t="s">
        <v>12</v>
      </c>
      <c r="I388">
        <f>Table1[[#This Row],[Qty]]*Table1[[#This Row],[Unit_Price]]</f>
        <v>5349.34</v>
      </c>
    </row>
    <row r="389" spans="1:9" x14ac:dyDescent="0.25">
      <c r="A389">
        <v>10388</v>
      </c>
      <c r="B389" s="1">
        <v>45895</v>
      </c>
      <c r="C389" t="s">
        <v>13</v>
      </c>
      <c r="D389" t="s">
        <v>30</v>
      </c>
      <c r="E389" t="s">
        <v>11</v>
      </c>
      <c r="F389">
        <v>5</v>
      </c>
      <c r="G389">
        <v>49126.77</v>
      </c>
      <c r="H389" t="s">
        <v>12</v>
      </c>
      <c r="I389">
        <f>Table1[[#This Row],[Qty]]*Table1[[#This Row],[Unit_Price]]</f>
        <v>245633.84999999998</v>
      </c>
    </row>
    <row r="390" spans="1:9" x14ac:dyDescent="0.25">
      <c r="A390">
        <v>10389</v>
      </c>
      <c r="B390" s="1">
        <v>45856</v>
      </c>
      <c r="C390" t="s">
        <v>25</v>
      </c>
      <c r="D390" t="s">
        <v>17</v>
      </c>
      <c r="E390" t="s">
        <v>11</v>
      </c>
      <c r="F390">
        <v>3</v>
      </c>
      <c r="G390">
        <v>11288.01</v>
      </c>
      <c r="H390" t="s">
        <v>14</v>
      </c>
      <c r="I390">
        <f>Table1[[#This Row],[Qty]]*Table1[[#This Row],[Unit_Price]]</f>
        <v>33864.03</v>
      </c>
    </row>
    <row r="391" spans="1:9" x14ac:dyDescent="0.25">
      <c r="A391">
        <v>10390</v>
      </c>
      <c r="B391" s="1">
        <v>45888</v>
      </c>
      <c r="C391" t="s">
        <v>9</v>
      </c>
      <c r="D391" t="s">
        <v>27</v>
      </c>
      <c r="E391" t="s">
        <v>24</v>
      </c>
      <c r="F391">
        <v>1</v>
      </c>
      <c r="G391">
        <v>12085.53</v>
      </c>
      <c r="H391" t="s">
        <v>14</v>
      </c>
      <c r="I391">
        <f>Table1[[#This Row],[Qty]]*Table1[[#This Row],[Unit_Price]]</f>
        <v>12085.53</v>
      </c>
    </row>
    <row r="392" spans="1:9" x14ac:dyDescent="0.25">
      <c r="A392">
        <v>10391</v>
      </c>
      <c r="B392" s="1">
        <v>45795</v>
      </c>
      <c r="C392" t="s">
        <v>29</v>
      </c>
      <c r="D392" t="s">
        <v>31</v>
      </c>
      <c r="E392" t="s">
        <v>11</v>
      </c>
      <c r="F392">
        <v>5</v>
      </c>
      <c r="G392">
        <v>9185.26</v>
      </c>
      <c r="H392" t="s">
        <v>12</v>
      </c>
      <c r="I392">
        <f>Table1[[#This Row],[Qty]]*Table1[[#This Row],[Unit_Price]]</f>
        <v>45926.3</v>
      </c>
    </row>
    <row r="393" spans="1:9" x14ac:dyDescent="0.25">
      <c r="A393">
        <v>10392</v>
      </c>
      <c r="B393" s="1">
        <v>45958</v>
      </c>
      <c r="C393" t="s">
        <v>21</v>
      </c>
      <c r="D393" t="s">
        <v>17</v>
      </c>
      <c r="E393" t="s">
        <v>11</v>
      </c>
      <c r="F393">
        <v>4</v>
      </c>
      <c r="G393">
        <v>11301.33</v>
      </c>
      <c r="H393" t="s">
        <v>18</v>
      </c>
      <c r="I393">
        <f>Table1[[#This Row],[Qty]]*Table1[[#This Row],[Unit_Price]]</f>
        <v>45205.32</v>
      </c>
    </row>
    <row r="394" spans="1:9" x14ac:dyDescent="0.25">
      <c r="A394">
        <v>10393</v>
      </c>
      <c r="B394" s="1">
        <v>45665</v>
      </c>
      <c r="C394" t="s">
        <v>29</v>
      </c>
      <c r="D394" t="s">
        <v>17</v>
      </c>
      <c r="E394" t="s">
        <v>11</v>
      </c>
      <c r="F394">
        <v>2</v>
      </c>
      <c r="G394">
        <v>13108.99</v>
      </c>
      <c r="H394" t="s">
        <v>28</v>
      </c>
      <c r="I394">
        <f>Table1[[#This Row],[Qty]]*Table1[[#This Row],[Unit_Price]]</f>
        <v>26217.98</v>
      </c>
    </row>
    <row r="395" spans="1:9" x14ac:dyDescent="0.25">
      <c r="A395">
        <v>10394</v>
      </c>
      <c r="B395" s="1">
        <v>45782</v>
      </c>
      <c r="C395" t="s">
        <v>22</v>
      </c>
      <c r="D395" t="s">
        <v>17</v>
      </c>
      <c r="E395" t="s">
        <v>11</v>
      </c>
      <c r="F395">
        <v>4</v>
      </c>
      <c r="G395">
        <v>12996.3</v>
      </c>
      <c r="H395" t="s">
        <v>18</v>
      </c>
      <c r="I395">
        <f>Table1[[#This Row],[Qty]]*Table1[[#This Row],[Unit_Price]]</f>
        <v>51985.2</v>
      </c>
    </row>
    <row r="396" spans="1:9" x14ac:dyDescent="0.25">
      <c r="A396">
        <v>10395</v>
      </c>
      <c r="B396" s="1">
        <v>45802</v>
      </c>
      <c r="C396" t="s">
        <v>21</v>
      </c>
      <c r="D396" t="s">
        <v>31</v>
      </c>
      <c r="E396" t="s">
        <v>11</v>
      </c>
      <c r="F396">
        <v>4</v>
      </c>
      <c r="G396">
        <v>9060.57</v>
      </c>
      <c r="H396" t="s">
        <v>18</v>
      </c>
      <c r="I396">
        <f>Table1[[#This Row],[Qty]]*Table1[[#This Row],[Unit_Price]]</f>
        <v>36242.28</v>
      </c>
    </row>
    <row r="397" spans="1:9" x14ac:dyDescent="0.25">
      <c r="A397">
        <v>10396</v>
      </c>
      <c r="B397" s="1">
        <v>45791</v>
      </c>
      <c r="C397" t="s">
        <v>16</v>
      </c>
      <c r="D397" t="s">
        <v>27</v>
      </c>
      <c r="E397" t="s">
        <v>24</v>
      </c>
      <c r="F397">
        <v>5</v>
      </c>
      <c r="G397">
        <v>12918.75</v>
      </c>
      <c r="H397" t="s">
        <v>14</v>
      </c>
      <c r="I397">
        <f>Table1[[#This Row],[Qty]]*Table1[[#This Row],[Unit_Price]]</f>
        <v>64593.75</v>
      </c>
    </row>
    <row r="398" spans="1:9" x14ac:dyDescent="0.25">
      <c r="A398">
        <v>10397</v>
      </c>
      <c r="B398" s="1">
        <v>45898</v>
      </c>
      <c r="C398" t="s">
        <v>13</v>
      </c>
      <c r="D398" t="s">
        <v>27</v>
      </c>
      <c r="E398" t="s">
        <v>24</v>
      </c>
      <c r="F398">
        <v>2</v>
      </c>
      <c r="G398">
        <v>11689.69</v>
      </c>
      <c r="H398" t="s">
        <v>14</v>
      </c>
      <c r="I398">
        <f>Table1[[#This Row],[Qty]]*Table1[[#This Row],[Unit_Price]]</f>
        <v>23379.38</v>
      </c>
    </row>
    <row r="399" spans="1:9" x14ac:dyDescent="0.25">
      <c r="A399">
        <v>10398</v>
      </c>
      <c r="B399" s="1">
        <v>45946</v>
      </c>
      <c r="C399" t="s">
        <v>22</v>
      </c>
      <c r="D399" t="s">
        <v>17</v>
      </c>
      <c r="E399" t="s">
        <v>11</v>
      </c>
      <c r="F399">
        <v>2</v>
      </c>
      <c r="G399">
        <v>10838.93</v>
      </c>
      <c r="H399" t="s">
        <v>28</v>
      </c>
      <c r="I399">
        <f>Table1[[#This Row],[Qty]]*Table1[[#This Row],[Unit_Price]]</f>
        <v>21677.86</v>
      </c>
    </row>
    <row r="400" spans="1:9" x14ac:dyDescent="0.25">
      <c r="A400">
        <v>10399</v>
      </c>
      <c r="B400" s="1">
        <v>45809</v>
      </c>
      <c r="C400" t="s">
        <v>13</v>
      </c>
      <c r="D400" t="s">
        <v>20</v>
      </c>
      <c r="E400" t="s">
        <v>11</v>
      </c>
      <c r="F400">
        <v>2</v>
      </c>
      <c r="G400">
        <v>1448.96</v>
      </c>
      <c r="H400" t="s">
        <v>12</v>
      </c>
      <c r="I400">
        <f>Table1[[#This Row],[Qty]]*Table1[[#This Row],[Unit_Price]]</f>
        <v>2897.92</v>
      </c>
    </row>
    <row r="401" spans="1:9" x14ac:dyDescent="0.25">
      <c r="A401">
        <v>10400</v>
      </c>
      <c r="B401" s="1">
        <v>45913</v>
      </c>
      <c r="C401" t="s">
        <v>16</v>
      </c>
      <c r="D401" t="s">
        <v>27</v>
      </c>
      <c r="E401" t="s">
        <v>24</v>
      </c>
      <c r="F401">
        <v>3</v>
      </c>
      <c r="G401">
        <v>12632.07</v>
      </c>
      <c r="H401" t="s">
        <v>28</v>
      </c>
      <c r="I401">
        <f>Table1[[#This Row],[Qty]]*Table1[[#This Row],[Unit_Price]]</f>
        <v>37896.21</v>
      </c>
    </row>
    <row r="402" spans="1:9" x14ac:dyDescent="0.25">
      <c r="A402">
        <v>10401</v>
      </c>
      <c r="B402" s="1">
        <v>45893</v>
      </c>
      <c r="C402" t="s">
        <v>34</v>
      </c>
      <c r="D402" t="s">
        <v>20</v>
      </c>
      <c r="E402" t="s">
        <v>11</v>
      </c>
      <c r="F402">
        <v>3</v>
      </c>
      <c r="G402">
        <v>1400.78</v>
      </c>
      <c r="H402" t="s">
        <v>28</v>
      </c>
      <c r="I402">
        <f>Table1[[#This Row],[Qty]]*Table1[[#This Row],[Unit_Price]]</f>
        <v>4202.34</v>
      </c>
    </row>
    <row r="403" spans="1:9" x14ac:dyDescent="0.25">
      <c r="A403">
        <v>10402</v>
      </c>
      <c r="B403" s="1">
        <v>45752</v>
      </c>
      <c r="C403" t="s">
        <v>29</v>
      </c>
      <c r="D403" t="s">
        <v>30</v>
      </c>
      <c r="E403" t="s">
        <v>11</v>
      </c>
      <c r="F403">
        <v>5</v>
      </c>
      <c r="G403">
        <v>45338.239999999998</v>
      </c>
      <c r="H403" t="s">
        <v>14</v>
      </c>
      <c r="I403">
        <f>Table1[[#This Row],[Qty]]*Table1[[#This Row],[Unit_Price]]</f>
        <v>226691.19999999998</v>
      </c>
    </row>
    <row r="404" spans="1:9" x14ac:dyDescent="0.25">
      <c r="A404">
        <v>10403</v>
      </c>
      <c r="B404" s="1">
        <v>45661</v>
      </c>
      <c r="C404" t="s">
        <v>9</v>
      </c>
      <c r="D404" t="s">
        <v>31</v>
      </c>
      <c r="E404" t="s">
        <v>11</v>
      </c>
      <c r="F404">
        <v>2</v>
      </c>
      <c r="G404">
        <v>9616.58</v>
      </c>
      <c r="H404" t="s">
        <v>14</v>
      </c>
      <c r="I404">
        <f>Table1[[#This Row],[Qty]]*Table1[[#This Row],[Unit_Price]]</f>
        <v>19233.16</v>
      </c>
    </row>
    <row r="405" spans="1:9" x14ac:dyDescent="0.25">
      <c r="A405">
        <v>10404</v>
      </c>
      <c r="B405" s="1">
        <v>46020</v>
      </c>
      <c r="C405" t="s">
        <v>16</v>
      </c>
      <c r="D405" t="s">
        <v>20</v>
      </c>
      <c r="E405" t="s">
        <v>11</v>
      </c>
      <c r="F405">
        <v>1</v>
      </c>
      <c r="G405">
        <v>1415.62</v>
      </c>
      <c r="H405" t="s">
        <v>18</v>
      </c>
      <c r="I405">
        <f>Table1[[#This Row],[Qty]]*Table1[[#This Row],[Unit_Price]]</f>
        <v>1415.62</v>
      </c>
    </row>
    <row r="406" spans="1:9" x14ac:dyDescent="0.25">
      <c r="A406">
        <v>10405</v>
      </c>
      <c r="B406" s="1">
        <v>45688</v>
      </c>
      <c r="C406" t="s">
        <v>22</v>
      </c>
      <c r="D406" t="s">
        <v>32</v>
      </c>
      <c r="E406" t="s">
        <v>11</v>
      </c>
      <c r="F406">
        <v>4</v>
      </c>
      <c r="G406">
        <v>2257.87</v>
      </c>
      <c r="H406" t="s">
        <v>28</v>
      </c>
      <c r="I406">
        <f>Table1[[#This Row],[Qty]]*Table1[[#This Row],[Unit_Price]]</f>
        <v>9031.48</v>
      </c>
    </row>
    <row r="407" spans="1:9" x14ac:dyDescent="0.25">
      <c r="A407">
        <v>10406</v>
      </c>
      <c r="B407" s="1">
        <v>45664</v>
      </c>
      <c r="C407" t="s">
        <v>22</v>
      </c>
      <c r="D407" t="s">
        <v>30</v>
      </c>
      <c r="E407" t="s">
        <v>11</v>
      </c>
      <c r="F407">
        <v>5</v>
      </c>
      <c r="G407">
        <v>52221.93</v>
      </c>
      <c r="H407" t="s">
        <v>18</v>
      </c>
      <c r="I407">
        <f>Table1[[#This Row],[Qty]]*Table1[[#This Row],[Unit_Price]]</f>
        <v>261109.65</v>
      </c>
    </row>
    <row r="408" spans="1:9" x14ac:dyDescent="0.25">
      <c r="A408">
        <v>10407</v>
      </c>
      <c r="B408" s="1">
        <v>45666</v>
      </c>
      <c r="C408" t="s">
        <v>29</v>
      </c>
      <c r="D408" t="s">
        <v>31</v>
      </c>
      <c r="E408" t="s">
        <v>11</v>
      </c>
      <c r="F408">
        <v>2</v>
      </c>
      <c r="G408">
        <v>8292.6299999999992</v>
      </c>
      <c r="H408" t="s">
        <v>12</v>
      </c>
      <c r="I408">
        <f>Table1[[#This Row],[Qty]]*Table1[[#This Row],[Unit_Price]]</f>
        <v>16585.259999999998</v>
      </c>
    </row>
    <row r="409" spans="1:9" x14ac:dyDescent="0.25">
      <c r="A409">
        <v>10408</v>
      </c>
      <c r="B409" s="1">
        <v>45781</v>
      </c>
      <c r="C409" t="s">
        <v>21</v>
      </c>
      <c r="D409" t="s">
        <v>17</v>
      </c>
      <c r="E409" t="s">
        <v>11</v>
      </c>
      <c r="F409">
        <v>5</v>
      </c>
      <c r="G409">
        <v>12063.49</v>
      </c>
      <c r="H409" t="s">
        <v>18</v>
      </c>
      <c r="I409">
        <f>Table1[[#This Row],[Qty]]*Table1[[#This Row],[Unit_Price]]</f>
        <v>60317.45</v>
      </c>
    </row>
    <row r="410" spans="1:9" x14ac:dyDescent="0.25">
      <c r="A410">
        <v>10409</v>
      </c>
      <c r="B410" s="1">
        <v>45861</v>
      </c>
      <c r="C410" t="s">
        <v>16</v>
      </c>
      <c r="D410" t="s">
        <v>10</v>
      </c>
      <c r="E410" t="s">
        <v>11</v>
      </c>
      <c r="F410">
        <v>3</v>
      </c>
      <c r="G410">
        <v>545.92999999999995</v>
      </c>
      <c r="H410" t="s">
        <v>12</v>
      </c>
      <c r="I410">
        <f>Table1[[#This Row],[Qty]]*Table1[[#This Row],[Unit_Price]]</f>
        <v>1637.79</v>
      </c>
    </row>
    <row r="411" spans="1:9" x14ac:dyDescent="0.25">
      <c r="A411">
        <v>10410</v>
      </c>
      <c r="B411" s="1">
        <v>46014</v>
      </c>
      <c r="C411" t="s">
        <v>29</v>
      </c>
      <c r="D411" t="s">
        <v>17</v>
      </c>
      <c r="E411" t="s">
        <v>11</v>
      </c>
      <c r="F411">
        <v>3</v>
      </c>
      <c r="G411">
        <v>12441.7</v>
      </c>
      <c r="H411" t="s">
        <v>14</v>
      </c>
      <c r="I411">
        <f>Table1[[#This Row],[Qty]]*Table1[[#This Row],[Unit_Price]]</f>
        <v>37325.100000000006</v>
      </c>
    </row>
    <row r="412" spans="1:9" x14ac:dyDescent="0.25">
      <c r="A412">
        <v>10411</v>
      </c>
      <c r="B412" s="1">
        <v>45705</v>
      </c>
      <c r="C412" t="s">
        <v>16</v>
      </c>
      <c r="D412" t="s">
        <v>31</v>
      </c>
      <c r="E412" t="s">
        <v>11</v>
      </c>
      <c r="F412">
        <v>4</v>
      </c>
      <c r="G412">
        <v>8778.91</v>
      </c>
      <c r="H412" t="s">
        <v>14</v>
      </c>
      <c r="I412">
        <f>Table1[[#This Row],[Qty]]*Table1[[#This Row],[Unit_Price]]</f>
        <v>35115.64</v>
      </c>
    </row>
    <row r="413" spans="1:9" x14ac:dyDescent="0.25">
      <c r="A413">
        <v>10412</v>
      </c>
      <c r="B413" s="1">
        <v>45984</v>
      </c>
      <c r="C413" t="s">
        <v>13</v>
      </c>
      <c r="D413" t="s">
        <v>30</v>
      </c>
      <c r="E413" t="s">
        <v>11</v>
      </c>
      <c r="F413">
        <v>2</v>
      </c>
      <c r="G413">
        <v>45826.86</v>
      </c>
      <c r="H413" t="s">
        <v>18</v>
      </c>
      <c r="I413">
        <f>Table1[[#This Row],[Qty]]*Table1[[#This Row],[Unit_Price]]</f>
        <v>91653.72</v>
      </c>
    </row>
    <row r="414" spans="1:9" x14ac:dyDescent="0.25">
      <c r="A414">
        <v>10413</v>
      </c>
      <c r="B414" s="1">
        <v>45947</v>
      </c>
      <c r="C414" t="s">
        <v>9</v>
      </c>
      <c r="D414" t="s">
        <v>10</v>
      </c>
      <c r="E414" t="s">
        <v>11</v>
      </c>
      <c r="F414">
        <v>5</v>
      </c>
      <c r="G414">
        <v>541.91999999999996</v>
      </c>
      <c r="H414" t="s">
        <v>12</v>
      </c>
      <c r="I414">
        <f>Table1[[#This Row],[Qty]]*Table1[[#This Row],[Unit_Price]]</f>
        <v>2709.6</v>
      </c>
    </row>
    <row r="415" spans="1:9" x14ac:dyDescent="0.25">
      <c r="A415">
        <v>10414</v>
      </c>
      <c r="B415" s="1">
        <v>46012</v>
      </c>
      <c r="C415" t="s">
        <v>29</v>
      </c>
      <c r="D415" t="s">
        <v>32</v>
      </c>
      <c r="E415" t="s">
        <v>11</v>
      </c>
      <c r="F415">
        <v>3</v>
      </c>
      <c r="G415">
        <v>2273.2800000000002</v>
      </c>
      <c r="H415" t="s">
        <v>18</v>
      </c>
      <c r="I415">
        <f>Table1[[#This Row],[Qty]]*Table1[[#This Row],[Unit_Price]]</f>
        <v>6819.84</v>
      </c>
    </row>
    <row r="416" spans="1:9" x14ac:dyDescent="0.25">
      <c r="A416">
        <v>10415</v>
      </c>
      <c r="B416" s="1">
        <v>45936</v>
      </c>
      <c r="C416" t="s">
        <v>21</v>
      </c>
      <c r="D416" t="s">
        <v>30</v>
      </c>
      <c r="E416" t="s">
        <v>11</v>
      </c>
      <c r="F416">
        <v>2</v>
      </c>
      <c r="G416">
        <v>54287.66</v>
      </c>
      <c r="H416" t="s">
        <v>14</v>
      </c>
      <c r="I416">
        <f>Table1[[#This Row],[Qty]]*Table1[[#This Row],[Unit_Price]]</f>
        <v>108575.32</v>
      </c>
    </row>
    <row r="417" spans="1:9" x14ac:dyDescent="0.25">
      <c r="A417">
        <v>10416</v>
      </c>
      <c r="B417" s="1">
        <v>45764</v>
      </c>
      <c r="C417" t="s">
        <v>26</v>
      </c>
      <c r="D417" t="s">
        <v>20</v>
      </c>
      <c r="E417" t="s">
        <v>11</v>
      </c>
      <c r="F417">
        <v>4</v>
      </c>
      <c r="G417">
        <v>1628.66</v>
      </c>
      <c r="H417" t="s">
        <v>12</v>
      </c>
      <c r="I417">
        <f>Table1[[#This Row],[Qty]]*Table1[[#This Row],[Unit_Price]]</f>
        <v>6514.64</v>
      </c>
    </row>
    <row r="418" spans="1:9" x14ac:dyDescent="0.25">
      <c r="A418">
        <v>10417</v>
      </c>
      <c r="B418" s="1">
        <v>45946</v>
      </c>
      <c r="C418" t="s">
        <v>13</v>
      </c>
      <c r="D418" t="s">
        <v>17</v>
      </c>
      <c r="E418" t="s">
        <v>11</v>
      </c>
      <c r="F418">
        <v>5</v>
      </c>
      <c r="G418">
        <v>12803.16</v>
      </c>
      <c r="H418" t="s">
        <v>18</v>
      </c>
      <c r="I418">
        <f>Table1[[#This Row],[Qty]]*Table1[[#This Row],[Unit_Price]]</f>
        <v>64015.8</v>
      </c>
    </row>
    <row r="419" spans="1:9" x14ac:dyDescent="0.25">
      <c r="A419">
        <v>10418</v>
      </c>
      <c r="B419" s="1">
        <v>45854</v>
      </c>
      <c r="C419" t="s">
        <v>21</v>
      </c>
      <c r="D419" t="s">
        <v>20</v>
      </c>
      <c r="E419" t="s">
        <v>11</v>
      </c>
      <c r="F419">
        <v>1</v>
      </c>
      <c r="G419">
        <v>1500.24</v>
      </c>
      <c r="H419" t="s">
        <v>14</v>
      </c>
      <c r="I419">
        <f>Table1[[#This Row],[Qty]]*Table1[[#This Row],[Unit_Price]]</f>
        <v>1500.24</v>
      </c>
    </row>
    <row r="420" spans="1:9" x14ac:dyDescent="0.25">
      <c r="A420">
        <v>10419</v>
      </c>
      <c r="B420" s="1">
        <v>45708</v>
      </c>
      <c r="C420" t="s">
        <v>21</v>
      </c>
      <c r="D420" t="s">
        <v>31</v>
      </c>
      <c r="E420" t="s">
        <v>11</v>
      </c>
      <c r="F420">
        <v>2</v>
      </c>
      <c r="G420">
        <v>9609.61</v>
      </c>
      <c r="H420" t="s">
        <v>28</v>
      </c>
      <c r="I420">
        <f>Table1[[#This Row],[Qty]]*Table1[[#This Row],[Unit_Price]]</f>
        <v>19219.22</v>
      </c>
    </row>
    <row r="421" spans="1:9" x14ac:dyDescent="0.25">
      <c r="A421">
        <v>10420</v>
      </c>
      <c r="B421" s="1">
        <v>45825</v>
      </c>
      <c r="C421" t="s">
        <v>16</v>
      </c>
      <c r="D421" t="s">
        <v>30</v>
      </c>
      <c r="E421" t="s">
        <v>11</v>
      </c>
      <c r="F421">
        <v>3</v>
      </c>
      <c r="G421">
        <v>52835.48</v>
      </c>
      <c r="H421" t="s">
        <v>28</v>
      </c>
      <c r="I421">
        <f>Table1[[#This Row],[Qty]]*Table1[[#This Row],[Unit_Price]]</f>
        <v>158506.44</v>
      </c>
    </row>
    <row r="422" spans="1:9" x14ac:dyDescent="0.25">
      <c r="A422">
        <v>10421</v>
      </c>
      <c r="B422" s="1">
        <v>45774</v>
      </c>
      <c r="C422" t="s">
        <v>13</v>
      </c>
      <c r="D422" t="s">
        <v>27</v>
      </c>
      <c r="E422" t="s">
        <v>24</v>
      </c>
      <c r="F422">
        <v>5</v>
      </c>
      <c r="G422">
        <v>13058.74</v>
      </c>
      <c r="H422" t="s">
        <v>12</v>
      </c>
      <c r="I422">
        <f>Table1[[#This Row],[Qty]]*Table1[[#This Row],[Unit_Price]]</f>
        <v>65293.7</v>
      </c>
    </row>
    <row r="423" spans="1:9" x14ac:dyDescent="0.25">
      <c r="A423">
        <v>10422</v>
      </c>
      <c r="B423" s="1">
        <v>46006</v>
      </c>
      <c r="C423" t="s">
        <v>26</v>
      </c>
      <c r="D423" t="s">
        <v>31</v>
      </c>
      <c r="E423" t="s">
        <v>11</v>
      </c>
      <c r="F423">
        <v>1</v>
      </c>
      <c r="G423">
        <v>9489.9</v>
      </c>
      <c r="H423" t="s">
        <v>12</v>
      </c>
      <c r="I423">
        <f>Table1[[#This Row],[Qty]]*Table1[[#This Row],[Unit_Price]]</f>
        <v>9489.9</v>
      </c>
    </row>
    <row r="424" spans="1:9" x14ac:dyDescent="0.25">
      <c r="A424">
        <v>10423</v>
      </c>
      <c r="B424" s="1">
        <v>45695</v>
      </c>
      <c r="C424" t="s">
        <v>34</v>
      </c>
      <c r="D424" t="s">
        <v>10</v>
      </c>
      <c r="E424" t="s">
        <v>11</v>
      </c>
      <c r="F424">
        <v>3</v>
      </c>
      <c r="G424">
        <v>465.42</v>
      </c>
      <c r="H424" t="s">
        <v>12</v>
      </c>
      <c r="I424">
        <f>Table1[[#This Row],[Qty]]*Table1[[#This Row],[Unit_Price]]</f>
        <v>1396.26</v>
      </c>
    </row>
    <row r="425" spans="1:9" x14ac:dyDescent="0.25">
      <c r="A425">
        <v>10424</v>
      </c>
      <c r="B425" s="1">
        <v>45857</v>
      </c>
      <c r="C425" t="s">
        <v>33</v>
      </c>
      <c r="D425" t="s">
        <v>27</v>
      </c>
      <c r="E425" t="s">
        <v>24</v>
      </c>
      <c r="F425">
        <v>3</v>
      </c>
      <c r="G425">
        <v>11055.72</v>
      </c>
      <c r="H425" t="s">
        <v>18</v>
      </c>
      <c r="I425">
        <f>Table1[[#This Row],[Qty]]*Table1[[#This Row],[Unit_Price]]</f>
        <v>33167.159999999996</v>
      </c>
    </row>
    <row r="426" spans="1:9" x14ac:dyDescent="0.25">
      <c r="A426">
        <v>10425</v>
      </c>
      <c r="B426" s="1">
        <v>45885</v>
      </c>
      <c r="C426" t="s">
        <v>29</v>
      </c>
      <c r="D426" t="s">
        <v>27</v>
      </c>
      <c r="E426" t="s">
        <v>24</v>
      </c>
      <c r="F426">
        <v>3</v>
      </c>
      <c r="G426">
        <v>11045.36</v>
      </c>
      <c r="H426" t="s">
        <v>12</v>
      </c>
      <c r="I426">
        <f>Table1[[#This Row],[Qty]]*Table1[[#This Row],[Unit_Price]]</f>
        <v>33136.080000000002</v>
      </c>
    </row>
    <row r="427" spans="1:9" x14ac:dyDescent="0.25">
      <c r="A427">
        <v>10426</v>
      </c>
      <c r="B427" s="1">
        <v>45878</v>
      </c>
      <c r="C427" t="s">
        <v>13</v>
      </c>
      <c r="D427" t="s">
        <v>32</v>
      </c>
      <c r="E427" t="s">
        <v>11</v>
      </c>
      <c r="F427">
        <v>5</v>
      </c>
      <c r="G427">
        <v>2527.37</v>
      </c>
      <c r="H427" t="s">
        <v>14</v>
      </c>
      <c r="I427">
        <f>Table1[[#This Row],[Qty]]*Table1[[#This Row],[Unit_Price]]</f>
        <v>12636.849999999999</v>
      </c>
    </row>
    <row r="428" spans="1:9" x14ac:dyDescent="0.25">
      <c r="A428">
        <v>10427</v>
      </c>
      <c r="B428" s="1">
        <v>45671</v>
      </c>
      <c r="C428" t="s">
        <v>15</v>
      </c>
      <c r="D428" t="s">
        <v>10</v>
      </c>
      <c r="E428" t="s">
        <v>11</v>
      </c>
      <c r="F428">
        <v>3</v>
      </c>
      <c r="G428">
        <v>505.42</v>
      </c>
      <c r="H428" t="s">
        <v>18</v>
      </c>
      <c r="I428">
        <f>Table1[[#This Row],[Qty]]*Table1[[#This Row],[Unit_Price]]</f>
        <v>1516.26</v>
      </c>
    </row>
    <row r="429" spans="1:9" x14ac:dyDescent="0.25">
      <c r="A429">
        <v>10428</v>
      </c>
      <c r="B429" s="1">
        <v>45855</v>
      </c>
      <c r="C429" t="s">
        <v>29</v>
      </c>
      <c r="D429" t="s">
        <v>30</v>
      </c>
      <c r="E429" t="s">
        <v>11</v>
      </c>
      <c r="F429">
        <v>3</v>
      </c>
      <c r="G429">
        <v>49138.1</v>
      </c>
      <c r="H429" t="s">
        <v>12</v>
      </c>
      <c r="I429">
        <f>Table1[[#This Row],[Qty]]*Table1[[#This Row],[Unit_Price]]</f>
        <v>147414.29999999999</v>
      </c>
    </row>
    <row r="430" spans="1:9" x14ac:dyDescent="0.25">
      <c r="A430">
        <v>10429</v>
      </c>
      <c r="B430" s="1">
        <v>45950</v>
      </c>
      <c r="C430" t="s">
        <v>26</v>
      </c>
      <c r="D430" t="s">
        <v>20</v>
      </c>
      <c r="E430" t="s">
        <v>11</v>
      </c>
      <c r="F430">
        <v>4</v>
      </c>
      <c r="G430">
        <v>1400.85</v>
      </c>
      <c r="H430" t="s">
        <v>18</v>
      </c>
      <c r="I430">
        <f>Table1[[#This Row],[Qty]]*Table1[[#This Row],[Unit_Price]]</f>
        <v>5603.4</v>
      </c>
    </row>
    <row r="431" spans="1:9" x14ac:dyDescent="0.25">
      <c r="A431">
        <v>10430</v>
      </c>
      <c r="B431" s="1">
        <v>45795</v>
      </c>
      <c r="C431" t="s">
        <v>13</v>
      </c>
      <c r="D431" t="s">
        <v>32</v>
      </c>
      <c r="E431" t="s">
        <v>11</v>
      </c>
      <c r="F431">
        <v>2</v>
      </c>
      <c r="G431">
        <v>2281.63</v>
      </c>
      <c r="H431" t="s">
        <v>18</v>
      </c>
      <c r="I431">
        <f>Table1[[#This Row],[Qty]]*Table1[[#This Row],[Unit_Price]]</f>
        <v>4563.26</v>
      </c>
    </row>
    <row r="432" spans="1:9" x14ac:dyDescent="0.25">
      <c r="A432">
        <v>10431</v>
      </c>
      <c r="B432" s="1">
        <v>45873</v>
      </c>
      <c r="C432" t="s">
        <v>21</v>
      </c>
      <c r="D432" t="s">
        <v>23</v>
      </c>
      <c r="E432" t="s">
        <v>24</v>
      </c>
      <c r="F432">
        <v>4</v>
      </c>
      <c r="G432">
        <v>7395.73</v>
      </c>
      <c r="H432" t="s">
        <v>18</v>
      </c>
      <c r="I432">
        <f>Table1[[#This Row],[Qty]]*Table1[[#This Row],[Unit_Price]]</f>
        <v>29582.92</v>
      </c>
    </row>
    <row r="433" spans="1:9" x14ac:dyDescent="0.25">
      <c r="A433">
        <v>10432</v>
      </c>
      <c r="B433" s="1">
        <v>45784</v>
      </c>
      <c r="C433" t="s">
        <v>16</v>
      </c>
      <c r="D433" t="s">
        <v>32</v>
      </c>
      <c r="E433" t="s">
        <v>11</v>
      </c>
      <c r="F433">
        <v>5</v>
      </c>
      <c r="G433">
        <v>2558.33</v>
      </c>
      <c r="H433" t="s">
        <v>14</v>
      </c>
      <c r="I433">
        <f>Table1[[#This Row],[Qty]]*Table1[[#This Row],[Unit_Price]]</f>
        <v>12791.65</v>
      </c>
    </row>
    <row r="434" spans="1:9" x14ac:dyDescent="0.25">
      <c r="A434">
        <v>10433</v>
      </c>
      <c r="B434" s="1">
        <v>45727</v>
      </c>
      <c r="C434" t="s">
        <v>21</v>
      </c>
      <c r="D434" t="s">
        <v>23</v>
      </c>
      <c r="E434" t="s">
        <v>24</v>
      </c>
      <c r="F434">
        <v>1</v>
      </c>
      <c r="G434">
        <v>7628.35</v>
      </c>
      <c r="H434" t="s">
        <v>28</v>
      </c>
      <c r="I434">
        <f>Table1[[#This Row],[Qty]]*Table1[[#This Row],[Unit_Price]]</f>
        <v>7628.35</v>
      </c>
    </row>
    <row r="435" spans="1:9" x14ac:dyDescent="0.25">
      <c r="A435">
        <v>10434</v>
      </c>
      <c r="B435" s="1">
        <v>45826</v>
      </c>
      <c r="C435" t="s">
        <v>25</v>
      </c>
      <c r="D435" t="s">
        <v>32</v>
      </c>
      <c r="E435" t="s">
        <v>11</v>
      </c>
      <c r="F435">
        <v>3</v>
      </c>
      <c r="G435">
        <v>2465.31</v>
      </c>
      <c r="H435" t="s">
        <v>12</v>
      </c>
      <c r="I435">
        <f>Table1[[#This Row],[Qty]]*Table1[[#This Row],[Unit_Price]]</f>
        <v>7395.93</v>
      </c>
    </row>
    <row r="436" spans="1:9" x14ac:dyDescent="0.25">
      <c r="A436">
        <v>10435</v>
      </c>
      <c r="B436" s="1">
        <v>45811</v>
      </c>
      <c r="C436" t="s">
        <v>9</v>
      </c>
      <c r="D436" t="s">
        <v>27</v>
      </c>
      <c r="E436" t="s">
        <v>24</v>
      </c>
      <c r="F436">
        <v>5</v>
      </c>
      <c r="G436">
        <v>13073.47</v>
      </c>
      <c r="H436" t="s">
        <v>28</v>
      </c>
      <c r="I436">
        <f>Table1[[#This Row],[Qty]]*Table1[[#This Row],[Unit_Price]]</f>
        <v>65367.35</v>
      </c>
    </row>
    <row r="437" spans="1:9" x14ac:dyDescent="0.25">
      <c r="A437">
        <v>10436</v>
      </c>
      <c r="B437" s="1">
        <v>45818</v>
      </c>
      <c r="C437" t="s">
        <v>26</v>
      </c>
      <c r="D437" t="s">
        <v>20</v>
      </c>
      <c r="E437" t="s">
        <v>11</v>
      </c>
      <c r="F437">
        <v>4</v>
      </c>
      <c r="G437">
        <v>1640.62</v>
      </c>
      <c r="H437" t="s">
        <v>28</v>
      </c>
      <c r="I437">
        <f>Table1[[#This Row],[Qty]]*Table1[[#This Row],[Unit_Price]]</f>
        <v>6562.48</v>
      </c>
    </row>
    <row r="438" spans="1:9" x14ac:dyDescent="0.25">
      <c r="A438">
        <v>10437</v>
      </c>
      <c r="B438" s="1">
        <v>45952</v>
      </c>
      <c r="C438" t="s">
        <v>13</v>
      </c>
      <c r="D438" t="s">
        <v>17</v>
      </c>
      <c r="E438" t="s">
        <v>11</v>
      </c>
      <c r="F438">
        <v>3</v>
      </c>
      <c r="G438">
        <v>11702.53</v>
      </c>
      <c r="H438" t="s">
        <v>18</v>
      </c>
      <c r="I438">
        <f>Table1[[#This Row],[Qty]]*Table1[[#This Row],[Unit_Price]]</f>
        <v>35107.590000000004</v>
      </c>
    </row>
    <row r="439" spans="1:9" x14ac:dyDescent="0.25">
      <c r="A439">
        <v>10438</v>
      </c>
      <c r="B439" s="1">
        <v>45716</v>
      </c>
      <c r="C439" t="s">
        <v>19</v>
      </c>
      <c r="D439" t="s">
        <v>17</v>
      </c>
      <c r="E439" t="s">
        <v>11</v>
      </c>
      <c r="F439">
        <v>5</v>
      </c>
      <c r="G439">
        <v>13193.44</v>
      </c>
      <c r="H439" t="s">
        <v>14</v>
      </c>
      <c r="I439">
        <f>Table1[[#This Row],[Qty]]*Table1[[#This Row],[Unit_Price]]</f>
        <v>65967.199999999997</v>
      </c>
    </row>
    <row r="440" spans="1:9" x14ac:dyDescent="0.25">
      <c r="A440">
        <v>10439</v>
      </c>
      <c r="B440" s="1">
        <v>45894</v>
      </c>
      <c r="C440" t="s">
        <v>34</v>
      </c>
      <c r="D440" t="s">
        <v>17</v>
      </c>
      <c r="E440" t="s">
        <v>11</v>
      </c>
      <c r="F440">
        <v>4</v>
      </c>
      <c r="G440">
        <v>12714.45</v>
      </c>
      <c r="H440" t="s">
        <v>14</v>
      </c>
      <c r="I440">
        <f>Table1[[#This Row],[Qty]]*Table1[[#This Row],[Unit_Price]]</f>
        <v>50857.8</v>
      </c>
    </row>
    <row r="441" spans="1:9" x14ac:dyDescent="0.25">
      <c r="A441">
        <v>10440</v>
      </c>
      <c r="B441" s="1">
        <v>45867</v>
      </c>
      <c r="C441" t="s">
        <v>9</v>
      </c>
      <c r="D441" t="s">
        <v>32</v>
      </c>
      <c r="E441" t="s">
        <v>11</v>
      </c>
      <c r="F441">
        <v>2</v>
      </c>
      <c r="G441">
        <v>2566.67</v>
      </c>
      <c r="H441" t="s">
        <v>18</v>
      </c>
      <c r="I441">
        <f>Table1[[#This Row],[Qty]]*Table1[[#This Row],[Unit_Price]]</f>
        <v>5133.34</v>
      </c>
    </row>
    <row r="442" spans="1:9" x14ac:dyDescent="0.25">
      <c r="A442">
        <v>10441</v>
      </c>
      <c r="B442" s="1">
        <v>45995</v>
      </c>
      <c r="C442" t="s">
        <v>29</v>
      </c>
      <c r="D442" t="s">
        <v>20</v>
      </c>
      <c r="E442" t="s">
        <v>11</v>
      </c>
      <c r="F442">
        <v>4</v>
      </c>
      <c r="G442">
        <v>1586.72</v>
      </c>
      <c r="H442" t="s">
        <v>28</v>
      </c>
      <c r="I442">
        <f>Table1[[#This Row],[Qty]]*Table1[[#This Row],[Unit_Price]]</f>
        <v>6346.88</v>
      </c>
    </row>
    <row r="443" spans="1:9" x14ac:dyDescent="0.25">
      <c r="A443">
        <v>10442</v>
      </c>
      <c r="B443" s="1">
        <v>45964</v>
      </c>
      <c r="C443" t="s">
        <v>22</v>
      </c>
      <c r="D443" t="s">
        <v>32</v>
      </c>
      <c r="E443" t="s">
        <v>11</v>
      </c>
      <c r="F443">
        <v>5</v>
      </c>
      <c r="G443">
        <v>2450.4</v>
      </c>
      <c r="H443" t="s">
        <v>28</v>
      </c>
      <c r="I443">
        <f>Table1[[#This Row],[Qty]]*Table1[[#This Row],[Unit_Price]]</f>
        <v>12252</v>
      </c>
    </row>
    <row r="444" spans="1:9" x14ac:dyDescent="0.25">
      <c r="A444">
        <v>10443</v>
      </c>
      <c r="B444" s="1">
        <v>45936</v>
      </c>
      <c r="C444" t="s">
        <v>22</v>
      </c>
      <c r="D444" t="s">
        <v>30</v>
      </c>
      <c r="E444" t="s">
        <v>11</v>
      </c>
      <c r="F444">
        <v>3</v>
      </c>
      <c r="G444">
        <v>52016.34</v>
      </c>
      <c r="H444" t="s">
        <v>14</v>
      </c>
      <c r="I444">
        <f>Table1[[#This Row],[Qty]]*Table1[[#This Row],[Unit_Price]]</f>
        <v>156049.01999999999</v>
      </c>
    </row>
    <row r="445" spans="1:9" x14ac:dyDescent="0.25">
      <c r="A445">
        <v>10444</v>
      </c>
      <c r="B445" s="1">
        <v>45713</v>
      </c>
      <c r="C445" t="s">
        <v>15</v>
      </c>
      <c r="D445" t="s">
        <v>17</v>
      </c>
      <c r="E445" t="s">
        <v>11</v>
      </c>
      <c r="F445">
        <v>3</v>
      </c>
      <c r="G445">
        <v>11199.21</v>
      </c>
      <c r="H445" t="s">
        <v>14</v>
      </c>
      <c r="I445">
        <f>Table1[[#This Row],[Qty]]*Table1[[#This Row],[Unit_Price]]</f>
        <v>33597.629999999997</v>
      </c>
    </row>
    <row r="446" spans="1:9" x14ac:dyDescent="0.25">
      <c r="A446">
        <v>10445</v>
      </c>
      <c r="B446" s="1">
        <v>45946</v>
      </c>
      <c r="C446" t="s">
        <v>13</v>
      </c>
      <c r="D446" t="s">
        <v>31</v>
      </c>
      <c r="E446" t="s">
        <v>11</v>
      </c>
      <c r="F446">
        <v>3</v>
      </c>
      <c r="G446">
        <v>9838.2900000000009</v>
      </c>
      <c r="H446" t="s">
        <v>14</v>
      </c>
      <c r="I446">
        <f>Table1[[#This Row],[Qty]]*Table1[[#This Row],[Unit_Price]]</f>
        <v>29514.870000000003</v>
      </c>
    </row>
    <row r="447" spans="1:9" x14ac:dyDescent="0.25">
      <c r="A447">
        <v>10446</v>
      </c>
      <c r="B447" s="1">
        <v>45663</v>
      </c>
      <c r="C447" t="s">
        <v>34</v>
      </c>
      <c r="D447" t="s">
        <v>10</v>
      </c>
      <c r="E447" t="s">
        <v>11</v>
      </c>
      <c r="F447">
        <v>3</v>
      </c>
      <c r="G447">
        <v>472.2</v>
      </c>
      <c r="H447" t="s">
        <v>12</v>
      </c>
      <c r="I447">
        <f>Table1[[#This Row],[Qty]]*Table1[[#This Row],[Unit_Price]]</f>
        <v>1416.6</v>
      </c>
    </row>
    <row r="448" spans="1:9" x14ac:dyDescent="0.25">
      <c r="A448">
        <v>10447</v>
      </c>
      <c r="B448" s="1">
        <v>45886</v>
      </c>
      <c r="C448" t="s">
        <v>25</v>
      </c>
      <c r="D448" t="s">
        <v>27</v>
      </c>
      <c r="E448" t="s">
        <v>24</v>
      </c>
      <c r="F448">
        <v>4</v>
      </c>
      <c r="G448">
        <v>11911.35</v>
      </c>
      <c r="H448" t="s">
        <v>12</v>
      </c>
      <c r="I448">
        <f>Table1[[#This Row],[Qty]]*Table1[[#This Row],[Unit_Price]]</f>
        <v>47645.4</v>
      </c>
    </row>
    <row r="449" spans="1:9" x14ac:dyDescent="0.25">
      <c r="A449">
        <v>10448</v>
      </c>
      <c r="B449" s="1">
        <v>45834</v>
      </c>
      <c r="C449" t="s">
        <v>13</v>
      </c>
      <c r="D449" t="s">
        <v>30</v>
      </c>
      <c r="E449" t="s">
        <v>11</v>
      </c>
      <c r="F449">
        <v>4</v>
      </c>
      <c r="G449">
        <v>46045.49</v>
      </c>
      <c r="H449" t="s">
        <v>14</v>
      </c>
      <c r="I449">
        <f>Table1[[#This Row],[Qty]]*Table1[[#This Row],[Unit_Price]]</f>
        <v>184181.96</v>
      </c>
    </row>
    <row r="450" spans="1:9" x14ac:dyDescent="0.25">
      <c r="A450">
        <v>10449</v>
      </c>
      <c r="B450" s="1">
        <v>45717</v>
      </c>
      <c r="C450" t="s">
        <v>16</v>
      </c>
      <c r="D450" t="s">
        <v>20</v>
      </c>
      <c r="E450" t="s">
        <v>11</v>
      </c>
      <c r="F450">
        <v>3</v>
      </c>
      <c r="G450">
        <v>1443.57</v>
      </c>
      <c r="H450" t="s">
        <v>12</v>
      </c>
      <c r="I450">
        <f>Table1[[#This Row],[Qty]]*Table1[[#This Row],[Unit_Price]]</f>
        <v>4330.71</v>
      </c>
    </row>
    <row r="451" spans="1:9" x14ac:dyDescent="0.25">
      <c r="A451">
        <v>10450</v>
      </c>
      <c r="B451" s="1">
        <v>45924</v>
      </c>
      <c r="C451" t="s">
        <v>16</v>
      </c>
      <c r="D451" t="s">
        <v>32</v>
      </c>
      <c r="E451" t="s">
        <v>11</v>
      </c>
      <c r="F451">
        <v>3</v>
      </c>
      <c r="G451">
        <v>2488.08</v>
      </c>
      <c r="H451" t="s">
        <v>28</v>
      </c>
      <c r="I451">
        <f>Table1[[#This Row],[Qty]]*Table1[[#This Row],[Unit_Price]]</f>
        <v>7464.24</v>
      </c>
    </row>
    <row r="452" spans="1:9" x14ac:dyDescent="0.25">
      <c r="A452">
        <v>10451</v>
      </c>
      <c r="B452" s="1">
        <v>45821</v>
      </c>
      <c r="C452" t="s">
        <v>34</v>
      </c>
      <c r="D452" t="s">
        <v>10</v>
      </c>
      <c r="E452" t="s">
        <v>11</v>
      </c>
      <c r="F452">
        <v>3</v>
      </c>
      <c r="G452">
        <v>454.47</v>
      </c>
      <c r="H452" t="s">
        <v>14</v>
      </c>
      <c r="I452">
        <f>Table1[[#This Row],[Qty]]*Table1[[#This Row],[Unit_Price]]</f>
        <v>1363.41</v>
      </c>
    </row>
    <row r="453" spans="1:9" x14ac:dyDescent="0.25">
      <c r="A453">
        <v>10452</v>
      </c>
      <c r="B453" s="1">
        <v>45669</v>
      </c>
      <c r="C453" t="s">
        <v>19</v>
      </c>
      <c r="D453" t="s">
        <v>27</v>
      </c>
      <c r="E453" t="s">
        <v>24</v>
      </c>
      <c r="F453">
        <v>1</v>
      </c>
      <c r="G453">
        <v>12425.13</v>
      </c>
      <c r="H453" t="s">
        <v>12</v>
      </c>
      <c r="I453">
        <f>Table1[[#This Row],[Qty]]*Table1[[#This Row],[Unit_Price]]</f>
        <v>12425.13</v>
      </c>
    </row>
    <row r="454" spans="1:9" x14ac:dyDescent="0.25">
      <c r="A454">
        <v>10453</v>
      </c>
      <c r="B454" s="1">
        <v>45922</v>
      </c>
      <c r="C454" t="s">
        <v>22</v>
      </c>
      <c r="D454" t="s">
        <v>20</v>
      </c>
      <c r="E454" t="s">
        <v>11</v>
      </c>
      <c r="F454">
        <v>5</v>
      </c>
      <c r="G454">
        <v>1398.04</v>
      </c>
      <c r="H454" t="s">
        <v>28</v>
      </c>
      <c r="I454">
        <f>Table1[[#This Row],[Qty]]*Table1[[#This Row],[Unit_Price]]</f>
        <v>6990.2</v>
      </c>
    </row>
    <row r="455" spans="1:9" x14ac:dyDescent="0.25">
      <c r="A455">
        <v>10454</v>
      </c>
      <c r="B455" s="1">
        <v>45894</v>
      </c>
      <c r="C455" t="s">
        <v>19</v>
      </c>
      <c r="D455" t="s">
        <v>17</v>
      </c>
      <c r="E455" t="s">
        <v>11</v>
      </c>
      <c r="F455">
        <v>4</v>
      </c>
      <c r="G455">
        <v>12311.42</v>
      </c>
      <c r="H455" t="s">
        <v>28</v>
      </c>
      <c r="I455">
        <f>Table1[[#This Row],[Qty]]*Table1[[#This Row],[Unit_Price]]</f>
        <v>49245.68</v>
      </c>
    </row>
    <row r="456" spans="1:9" x14ac:dyDescent="0.25">
      <c r="A456">
        <v>10455</v>
      </c>
      <c r="B456" s="1">
        <v>45860</v>
      </c>
      <c r="C456" t="s">
        <v>16</v>
      </c>
      <c r="D456" t="s">
        <v>30</v>
      </c>
      <c r="E456" t="s">
        <v>11</v>
      </c>
      <c r="F456">
        <v>5</v>
      </c>
      <c r="G456">
        <v>53830.97</v>
      </c>
      <c r="H456" t="s">
        <v>28</v>
      </c>
      <c r="I456">
        <f>Table1[[#This Row],[Qty]]*Table1[[#This Row],[Unit_Price]]</f>
        <v>269154.84999999998</v>
      </c>
    </row>
    <row r="457" spans="1:9" x14ac:dyDescent="0.25">
      <c r="A457">
        <v>10456</v>
      </c>
      <c r="B457" s="1">
        <v>45857</v>
      </c>
      <c r="C457" t="s">
        <v>34</v>
      </c>
      <c r="D457" t="s">
        <v>30</v>
      </c>
      <c r="E457" t="s">
        <v>11</v>
      </c>
      <c r="F457">
        <v>2</v>
      </c>
      <c r="G457">
        <v>47057.84</v>
      </c>
      <c r="H457" t="s">
        <v>14</v>
      </c>
      <c r="I457">
        <f>Table1[[#This Row],[Qty]]*Table1[[#This Row],[Unit_Price]]</f>
        <v>94115.68</v>
      </c>
    </row>
    <row r="458" spans="1:9" x14ac:dyDescent="0.25">
      <c r="A458">
        <v>10457</v>
      </c>
      <c r="B458" s="1">
        <v>45953</v>
      </c>
      <c r="C458" t="s">
        <v>21</v>
      </c>
      <c r="D458" t="s">
        <v>10</v>
      </c>
      <c r="E458" t="s">
        <v>11</v>
      </c>
      <c r="F458">
        <v>5</v>
      </c>
      <c r="G458">
        <v>468.7</v>
      </c>
      <c r="H458" t="s">
        <v>12</v>
      </c>
      <c r="I458">
        <f>Table1[[#This Row],[Qty]]*Table1[[#This Row],[Unit_Price]]</f>
        <v>2343.5</v>
      </c>
    </row>
    <row r="459" spans="1:9" x14ac:dyDescent="0.25">
      <c r="A459">
        <v>10458</v>
      </c>
      <c r="B459" s="1">
        <v>45892</v>
      </c>
      <c r="C459" t="s">
        <v>16</v>
      </c>
      <c r="D459" t="s">
        <v>10</v>
      </c>
      <c r="E459" t="s">
        <v>11</v>
      </c>
      <c r="F459">
        <v>3</v>
      </c>
      <c r="G459">
        <v>517.07000000000005</v>
      </c>
      <c r="H459" t="s">
        <v>18</v>
      </c>
      <c r="I459">
        <f>Table1[[#This Row],[Qty]]*Table1[[#This Row],[Unit_Price]]</f>
        <v>1551.21</v>
      </c>
    </row>
    <row r="460" spans="1:9" x14ac:dyDescent="0.25">
      <c r="A460">
        <v>10459</v>
      </c>
      <c r="B460" s="1">
        <v>45963</v>
      </c>
      <c r="C460" t="s">
        <v>29</v>
      </c>
      <c r="D460" t="s">
        <v>31</v>
      </c>
      <c r="E460" t="s">
        <v>11</v>
      </c>
      <c r="F460">
        <v>5</v>
      </c>
      <c r="G460">
        <v>8806.58</v>
      </c>
      <c r="H460" t="s">
        <v>18</v>
      </c>
      <c r="I460">
        <f>Table1[[#This Row],[Qty]]*Table1[[#This Row],[Unit_Price]]</f>
        <v>44032.9</v>
      </c>
    </row>
    <row r="461" spans="1:9" x14ac:dyDescent="0.25">
      <c r="A461">
        <v>10460</v>
      </c>
      <c r="B461" s="1">
        <v>45838</v>
      </c>
      <c r="C461" t="s">
        <v>25</v>
      </c>
      <c r="D461" t="s">
        <v>32</v>
      </c>
      <c r="E461" t="s">
        <v>11</v>
      </c>
      <c r="F461">
        <v>5</v>
      </c>
      <c r="G461">
        <v>2336.2600000000002</v>
      </c>
      <c r="H461" t="s">
        <v>18</v>
      </c>
      <c r="I461">
        <f>Table1[[#This Row],[Qty]]*Table1[[#This Row],[Unit_Price]]</f>
        <v>11681.300000000001</v>
      </c>
    </row>
    <row r="462" spans="1:9" x14ac:dyDescent="0.25">
      <c r="A462">
        <v>10461</v>
      </c>
      <c r="B462" s="1">
        <v>45972</v>
      </c>
      <c r="C462" t="s">
        <v>9</v>
      </c>
      <c r="D462" t="s">
        <v>10</v>
      </c>
      <c r="E462" t="s">
        <v>11</v>
      </c>
      <c r="F462">
        <v>2</v>
      </c>
      <c r="G462">
        <v>481.32</v>
      </c>
      <c r="H462" t="s">
        <v>18</v>
      </c>
      <c r="I462">
        <f>Table1[[#This Row],[Qty]]*Table1[[#This Row],[Unit_Price]]</f>
        <v>962.64</v>
      </c>
    </row>
    <row r="463" spans="1:9" x14ac:dyDescent="0.25">
      <c r="A463">
        <v>10462</v>
      </c>
      <c r="B463" s="1">
        <v>45717</v>
      </c>
      <c r="C463" t="s">
        <v>22</v>
      </c>
      <c r="D463" t="s">
        <v>20</v>
      </c>
      <c r="E463" t="s">
        <v>11</v>
      </c>
      <c r="F463">
        <v>3</v>
      </c>
      <c r="G463">
        <v>1558.03</v>
      </c>
      <c r="H463" t="s">
        <v>28</v>
      </c>
      <c r="I463">
        <f>Table1[[#This Row],[Qty]]*Table1[[#This Row],[Unit_Price]]</f>
        <v>4674.09</v>
      </c>
    </row>
    <row r="464" spans="1:9" x14ac:dyDescent="0.25">
      <c r="A464">
        <v>10463</v>
      </c>
      <c r="B464" s="1">
        <v>45872</v>
      </c>
      <c r="C464" t="s">
        <v>19</v>
      </c>
      <c r="D464" t="s">
        <v>20</v>
      </c>
      <c r="E464" t="s">
        <v>11</v>
      </c>
      <c r="F464">
        <v>5</v>
      </c>
      <c r="G464">
        <v>1465.11</v>
      </c>
      <c r="H464" t="s">
        <v>28</v>
      </c>
      <c r="I464">
        <f>Table1[[#This Row],[Qty]]*Table1[[#This Row],[Unit_Price]]</f>
        <v>7325.5499999999993</v>
      </c>
    </row>
    <row r="465" spans="1:9" x14ac:dyDescent="0.25">
      <c r="A465">
        <v>10464</v>
      </c>
      <c r="B465" s="1">
        <v>45983</v>
      </c>
      <c r="C465" t="s">
        <v>26</v>
      </c>
      <c r="D465" t="s">
        <v>20</v>
      </c>
      <c r="E465" t="s">
        <v>11</v>
      </c>
      <c r="F465">
        <v>5</v>
      </c>
      <c r="G465">
        <v>1400.06</v>
      </c>
      <c r="H465" t="s">
        <v>12</v>
      </c>
      <c r="I465">
        <f>Table1[[#This Row],[Qty]]*Table1[[#This Row],[Unit_Price]]</f>
        <v>7000.2999999999993</v>
      </c>
    </row>
    <row r="466" spans="1:9" x14ac:dyDescent="0.25">
      <c r="A466">
        <v>10465</v>
      </c>
      <c r="B466" s="1">
        <v>45753</v>
      </c>
      <c r="C466" t="s">
        <v>21</v>
      </c>
      <c r="D466" t="s">
        <v>27</v>
      </c>
      <c r="E466" t="s">
        <v>24</v>
      </c>
      <c r="F466">
        <v>4</v>
      </c>
      <c r="G466">
        <v>12286.58</v>
      </c>
      <c r="H466" t="s">
        <v>14</v>
      </c>
      <c r="I466">
        <f>Table1[[#This Row],[Qty]]*Table1[[#This Row],[Unit_Price]]</f>
        <v>49146.32</v>
      </c>
    </row>
    <row r="467" spans="1:9" x14ac:dyDescent="0.25">
      <c r="A467">
        <v>10466</v>
      </c>
      <c r="B467" s="1">
        <v>45906</v>
      </c>
      <c r="C467" t="s">
        <v>22</v>
      </c>
      <c r="D467" t="s">
        <v>20</v>
      </c>
      <c r="E467" t="s">
        <v>11</v>
      </c>
      <c r="F467">
        <v>2</v>
      </c>
      <c r="G467">
        <v>1594.56</v>
      </c>
      <c r="H467" t="s">
        <v>28</v>
      </c>
      <c r="I467">
        <f>Table1[[#This Row],[Qty]]*Table1[[#This Row],[Unit_Price]]</f>
        <v>3189.12</v>
      </c>
    </row>
    <row r="468" spans="1:9" x14ac:dyDescent="0.25">
      <c r="A468">
        <v>10467</v>
      </c>
      <c r="B468" s="1">
        <v>45867</v>
      </c>
      <c r="C468" t="s">
        <v>16</v>
      </c>
      <c r="D468" t="s">
        <v>32</v>
      </c>
      <c r="E468" t="s">
        <v>11</v>
      </c>
      <c r="F468">
        <v>4</v>
      </c>
      <c r="G468">
        <v>2605.0700000000002</v>
      </c>
      <c r="H468" t="s">
        <v>28</v>
      </c>
      <c r="I468">
        <f>Table1[[#This Row],[Qty]]*Table1[[#This Row],[Unit_Price]]</f>
        <v>10420.280000000001</v>
      </c>
    </row>
    <row r="469" spans="1:9" x14ac:dyDescent="0.25">
      <c r="A469">
        <v>10468</v>
      </c>
      <c r="B469" s="1">
        <v>45743</v>
      </c>
      <c r="C469" t="s">
        <v>9</v>
      </c>
      <c r="D469" t="s">
        <v>10</v>
      </c>
      <c r="E469" t="s">
        <v>11</v>
      </c>
      <c r="F469">
        <v>5</v>
      </c>
      <c r="G469">
        <v>453.09</v>
      </c>
      <c r="H469" t="s">
        <v>18</v>
      </c>
      <c r="I469">
        <f>Table1[[#This Row],[Qty]]*Table1[[#This Row],[Unit_Price]]</f>
        <v>2265.4499999999998</v>
      </c>
    </row>
    <row r="470" spans="1:9" x14ac:dyDescent="0.25">
      <c r="A470">
        <v>10469</v>
      </c>
      <c r="B470" s="1">
        <v>45674</v>
      </c>
      <c r="C470" t="s">
        <v>19</v>
      </c>
      <c r="D470" t="s">
        <v>23</v>
      </c>
      <c r="E470" t="s">
        <v>24</v>
      </c>
      <c r="F470">
        <v>2</v>
      </c>
      <c r="G470">
        <v>7052.65</v>
      </c>
      <c r="H470" t="s">
        <v>28</v>
      </c>
      <c r="I470">
        <f>Table1[[#This Row],[Qty]]*Table1[[#This Row],[Unit_Price]]</f>
        <v>14105.3</v>
      </c>
    </row>
    <row r="471" spans="1:9" x14ac:dyDescent="0.25">
      <c r="A471">
        <v>10470</v>
      </c>
      <c r="B471" s="1">
        <v>45947</v>
      </c>
      <c r="C471" t="s">
        <v>15</v>
      </c>
      <c r="D471" t="s">
        <v>32</v>
      </c>
      <c r="E471" t="s">
        <v>11</v>
      </c>
      <c r="F471">
        <v>5</v>
      </c>
      <c r="G471">
        <v>2505.4</v>
      </c>
      <c r="H471" t="s">
        <v>14</v>
      </c>
      <c r="I471">
        <f>Table1[[#This Row],[Qty]]*Table1[[#This Row],[Unit_Price]]</f>
        <v>12527</v>
      </c>
    </row>
    <row r="472" spans="1:9" x14ac:dyDescent="0.25">
      <c r="A472">
        <v>10471</v>
      </c>
      <c r="B472" s="1">
        <v>45795</v>
      </c>
      <c r="C472" t="s">
        <v>33</v>
      </c>
      <c r="D472" t="s">
        <v>27</v>
      </c>
      <c r="E472" t="s">
        <v>24</v>
      </c>
      <c r="F472">
        <v>5</v>
      </c>
      <c r="G472">
        <v>12774.27</v>
      </c>
      <c r="H472" t="s">
        <v>28</v>
      </c>
      <c r="I472">
        <f>Table1[[#This Row],[Qty]]*Table1[[#This Row],[Unit_Price]]</f>
        <v>63871.350000000006</v>
      </c>
    </row>
    <row r="473" spans="1:9" x14ac:dyDescent="0.25">
      <c r="A473">
        <v>10472</v>
      </c>
      <c r="B473" s="1">
        <v>45937</v>
      </c>
      <c r="C473" t="s">
        <v>25</v>
      </c>
      <c r="D473" t="s">
        <v>17</v>
      </c>
      <c r="E473" t="s">
        <v>11</v>
      </c>
      <c r="F473">
        <v>4</v>
      </c>
      <c r="G473">
        <v>11045.8</v>
      </c>
      <c r="H473" t="s">
        <v>12</v>
      </c>
      <c r="I473">
        <f>Table1[[#This Row],[Qty]]*Table1[[#This Row],[Unit_Price]]</f>
        <v>44183.199999999997</v>
      </c>
    </row>
    <row r="474" spans="1:9" x14ac:dyDescent="0.25">
      <c r="A474">
        <v>10473</v>
      </c>
      <c r="B474" s="1">
        <v>45810</v>
      </c>
      <c r="C474" t="s">
        <v>29</v>
      </c>
      <c r="D474" t="s">
        <v>30</v>
      </c>
      <c r="E474" t="s">
        <v>11</v>
      </c>
      <c r="F474">
        <v>4</v>
      </c>
      <c r="G474">
        <v>47628.15</v>
      </c>
      <c r="H474" t="s">
        <v>28</v>
      </c>
      <c r="I474">
        <f>Table1[[#This Row],[Qty]]*Table1[[#This Row],[Unit_Price]]</f>
        <v>190512.6</v>
      </c>
    </row>
    <row r="475" spans="1:9" x14ac:dyDescent="0.25">
      <c r="A475">
        <v>10474</v>
      </c>
      <c r="B475" s="1">
        <v>45718</v>
      </c>
      <c r="C475" t="s">
        <v>15</v>
      </c>
      <c r="D475" t="s">
        <v>17</v>
      </c>
      <c r="E475" t="s">
        <v>11</v>
      </c>
      <c r="F475">
        <v>2</v>
      </c>
      <c r="G475">
        <v>12745.69</v>
      </c>
      <c r="H475" t="s">
        <v>18</v>
      </c>
      <c r="I475">
        <f>Table1[[#This Row],[Qty]]*Table1[[#This Row],[Unit_Price]]</f>
        <v>25491.38</v>
      </c>
    </row>
    <row r="476" spans="1:9" x14ac:dyDescent="0.25">
      <c r="A476">
        <v>10475</v>
      </c>
      <c r="B476" s="1">
        <v>46021</v>
      </c>
      <c r="C476" t="s">
        <v>9</v>
      </c>
      <c r="D476" t="s">
        <v>31</v>
      </c>
      <c r="E476" t="s">
        <v>11</v>
      </c>
      <c r="F476">
        <v>2</v>
      </c>
      <c r="G476">
        <v>9209.07</v>
      </c>
      <c r="H476" t="s">
        <v>12</v>
      </c>
      <c r="I476">
        <f>Table1[[#This Row],[Qty]]*Table1[[#This Row],[Unit_Price]]</f>
        <v>18418.14</v>
      </c>
    </row>
    <row r="477" spans="1:9" x14ac:dyDescent="0.25">
      <c r="A477">
        <v>10476</v>
      </c>
      <c r="B477" s="1">
        <v>45688</v>
      </c>
      <c r="C477" t="s">
        <v>22</v>
      </c>
      <c r="D477" t="s">
        <v>27</v>
      </c>
      <c r="E477" t="s">
        <v>24</v>
      </c>
      <c r="F477">
        <v>5</v>
      </c>
      <c r="G477">
        <v>11474.6</v>
      </c>
      <c r="H477" t="s">
        <v>12</v>
      </c>
      <c r="I477">
        <f>Table1[[#This Row],[Qty]]*Table1[[#This Row],[Unit_Price]]</f>
        <v>57373</v>
      </c>
    </row>
    <row r="478" spans="1:9" x14ac:dyDescent="0.25">
      <c r="A478">
        <v>10477</v>
      </c>
      <c r="B478" s="1">
        <v>45823</v>
      </c>
      <c r="C478" t="s">
        <v>22</v>
      </c>
      <c r="D478" t="s">
        <v>23</v>
      </c>
      <c r="E478" t="s">
        <v>24</v>
      </c>
      <c r="F478">
        <v>3</v>
      </c>
      <c r="G478">
        <v>7101.83</v>
      </c>
      <c r="H478" t="s">
        <v>14</v>
      </c>
      <c r="I478">
        <f>Table1[[#This Row],[Qty]]*Table1[[#This Row],[Unit_Price]]</f>
        <v>21305.489999999998</v>
      </c>
    </row>
    <row r="479" spans="1:9" x14ac:dyDescent="0.25">
      <c r="A479">
        <v>10478</v>
      </c>
      <c r="B479" s="1">
        <v>45727</v>
      </c>
      <c r="C479" t="s">
        <v>25</v>
      </c>
      <c r="D479" t="s">
        <v>31</v>
      </c>
      <c r="E479" t="s">
        <v>11</v>
      </c>
      <c r="F479">
        <v>1</v>
      </c>
      <c r="G479">
        <v>9886.48</v>
      </c>
      <c r="H479" t="s">
        <v>12</v>
      </c>
      <c r="I479">
        <f>Table1[[#This Row],[Qty]]*Table1[[#This Row],[Unit_Price]]</f>
        <v>9886.48</v>
      </c>
    </row>
    <row r="480" spans="1:9" x14ac:dyDescent="0.25">
      <c r="A480">
        <v>10479</v>
      </c>
      <c r="B480" s="1">
        <v>46017</v>
      </c>
      <c r="C480" t="s">
        <v>21</v>
      </c>
      <c r="D480" t="s">
        <v>20</v>
      </c>
      <c r="E480" t="s">
        <v>11</v>
      </c>
      <c r="F480">
        <v>2</v>
      </c>
      <c r="G480">
        <v>1393.87</v>
      </c>
      <c r="H480" t="s">
        <v>12</v>
      </c>
      <c r="I480">
        <f>Table1[[#This Row],[Qty]]*Table1[[#This Row],[Unit_Price]]</f>
        <v>2787.74</v>
      </c>
    </row>
    <row r="481" spans="1:9" x14ac:dyDescent="0.25">
      <c r="A481">
        <v>10480</v>
      </c>
      <c r="B481" s="1">
        <v>46004</v>
      </c>
      <c r="C481" t="s">
        <v>25</v>
      </c>
      <c r="D481" t="s">
        <v>31</v>
      </c>
      <c r="E481" t="s">
        <v>11</v>
      </c>
      <c r="F481">
        <v>4</v>
      </c>
      <c r="G481">
        <v>8355.91</v>
      </c>
      <c r="H481" t="s">
        <v>18</v>
      </c>
      <c r="I481">
        <f>Table1[[#This Row],[Qty]]*Table1[[#This Row],[Unit_Price]]</f>
        <v>33423.64</v>
      </c>
    </row>
    <row r="482" spans="1:9" x14ac:dyDescent="0.25">
      <c r="A482">
        <v>10481</v>
      </c>
      <c r="B482" s="1">
        <v>45979</v>
      </c>
      <c r="C482" t="s">
        <v>25</v>
      </c>
      <c r="D482" t="s">
        <v>31</v>
      </c>
      <c r="E482" t="s">
        <v>11</v>
      </c>
      <c r="F482">
        <v>4</v>
      </c>
      <c r="G482">
        <v>8913.59</v>
      </c>
      <c r="H482" t="s">
        <v>14</v>
      </c>
      <c r="I482">
        <f>Table1[[#This Row],[Qty]]*Table1[[#This Row],[Unit_Price]]</f>
        <v>35654.36</v>
      </c>
    </row>
    <row r="483" spans="1:9" x14ac:dyDescent="0.25">
      <c r="A483">
        <v>10482</v>
      </c>
      <c r="B483" s="1">
        <v>45864</v>
      </c>
      <c r="C483" t="s">
        <v>16</v>
      </c>
      <c r="D483" t="s">
        <v>23</v>
      </c>
      <c r="E483" t="s">
        <v>24</v>
      </c>
      <c r="F483">
        <v>3</v>
      </c>
      <c r="G483">
        <v>6936.57</v>
      </c>
      <c r="H483" t="s">
        <v>18</v>
      </c>
      <c r="I483">
        <f>Table1[[#This Row],[Qty]]*Table1[[#This Row],[Unit_Price]]</f>
        <v>20809.71</v>
      </c>
    </row>
    <row r="484" spans="1:9" x14ac:dyDescent="0.25">
      <c r="A484">
        <v>10483</v>
      </c>
      <c r="B484" s="1">
        <v>45955</v>
      </c>
      <c r="C484" t="s">
        <v>16</v>
      </c>
      <c r="D484" t="s">
        <v>30</v>
      </c>
      <c r="E484" t="s">
        <v>11</v>
      </c>
      <c r="F484">
        <v>1</v>
      </c>
      <c r="G484">
        <v>52309.32</v>
      </c>
      <c r="H484" t="s">
        <v>18</v>
      </c>
      <c r="I484">
        <f>Table1[[#This Row],[Qty]]*Table1[[#This Row],[Unit_Price]]</f>
        <v>52309.32</v>
      </c>
    </row>
    <row r="485" spans="1:9" x14ac:dyDescent="0.25">
      <c r="A485">
        <v>10484</v>
      </c>
      <c r="B485" s="1">
        <v>45690</v>
      </c>
      <c r="C485" t="s">
        <v>9</v>
      </c>
      <c r="D485" t="s">
        <v>31</v>
      </c>
      <c r="E485" t="s">
        <v>11</v>
      </c>
      <c r="F485">
        <v>2</v>
      </c>
      <c r="G485">
        <v>9842.6299999999992</v>
      </c>
      <c r="H485" t="s">
        <v>28</v>
      </c>
      <c r="I485">
        <f>Table1[[#This Row],[Qty]]*Table1[[#This Row],[Unit_Price]]</f>
        <v>19685.259999999998</v>
      </c>
    </row>
    <row r="486" spans="1:9" x14ac:dyDescent="0.25">
      <c r="A486">
        <v>10485</v>
      </c>
      <c r="B486" s="1">
        <v>45795</v>
      </c>
      <c r="C486" t="s">
        <v>15</v>
      </c>
      <c r="D486" t="s">
        <v>27</v>
      </c>
      <c r="E486" t="s">
        <v>24</v>
      </c>
      <c r="F486">
        <v>3</v>
      </c>
      <c r="G486">
        <v>11610.61</v>
      </c>
      <c r="H486" t="s">
        <v>12</v>
      </c>
      <c r="I486">
        <f>Table1[[#This Row],[Qty]]*Table1[[#This Row],[Unit_Price]]</f>
        <v>34831.83</v>
      </c>
    </row>
    <row r="487" spans="1:9" x14ac:dyDescent="0.25">
      <c r="A487">
        <v>10486</v>
      </c>
      <c r="B487" s="1">
        <v>45947</v>
      </c>
      <c r="C487" t="s">
        <v>33</v>
      </c>
      <c r="D487" t="s">
        <v>32</v>
      </c>
      <c r="E487" t="s">
        <v>11</v>
      </c>
      <c r="F487">
        <v>3</v>
      </c>
      <c r="G487">
        <v>2697.08</v>
      </c>
      <c r="H487" t="s">
        <v>14</v>
      </c>
      <c r="I487">
        <f>Table1[[#This Row],[Qty]]*Table1[[#This Row],[Unit_Price]]</f>
        <v>8091.24</v>
      </c>
    </row>
    <row r="488" spans="1:9" x14ac:dyDescent="0.25">
      <c r="A488">
        <v>10487</v>
      </c>
      <c r="B488" s="1">
        <v>45708</v>
      </c>
      <c r="C488" t="s">
        <v>19</v>
      </c>
      <c r="D488" t="s">
        <v>32</v>
      </c>
      <c r="E488" t="s">
        <v>11</v>
      </c>
      <c r="F488">
        <v>1</v>
      </c>
      <c r="G488">
        <v>2312.12</v>
      </c>
      <c r="H488" t="s">
        <v>28</v>
      </c>
      <c r="I488">
        <f>Table1[[#This Row],[Qty]]*Table1[[#This Row],[Unit_Price]]</f>
        <v>2312.12</v>
      </c>
    </row>
    <row r="489" spans="1:9" x14ac:dyDescent="0.25">
      <c r="A489">
        <v>10488</v>
      </c>
      <c r="B489" s="1">
        <v>45891</v>
      </c>
      <c r="C489" t="s">
        <v>34</v>
      </c>
      <c r="D489" t="s">
        <v>30</v>
      </c>
      <c r="E489" t="s">
        <v>11</v>
      </c>
      <c r="F489">
        <v>4</v>
      </c>
      <c r="G489">
        <v>47023.18</v>
      </c>
      <c r="H489" t="s">
        <v>12</v>
      </c>
      <c r="I489">
        <f>Table1[[#This Row],[Qty]]*Table1[[#This Row],[Unit_Price]]</f>
        <v>188092.72</v>
      </c>
    </row>
    <row r="490" spans="1:9" x14ac:dyDescent="0.25">
      <c r="A490">
        <v>10489</v>
      </c>
      <c r="B490" s="1">
        <v>45990</v>
      </c>
      <c r="C490" t="s">
        <v>26</v>
      </c>
      <c r="D490" t="s">
        <v>23</v>
      </c>
      <c r="E490" t="s">
        <v>24</v>
      </c>
      <c r="F490">
        <v>2</v>
      </c>
      <c r="G490">
        <v>7524.19</v>
      </c>
      <c r="H490" t="s">
        <v>14</v>
      </c>
      <c r="I490">
        <f>Table1[[#This Row],[Qty]]*Table1[[#This Row],[Unit_Price]]</f>
        <v>15048.38</v>
      </c>
    </row>
    <row r="491" spans="1:9" x14ac:dyDescent="0.25">
      <c r="A491">
        <v>10490</v>
      </c>
      <c r="B491" s="1">
        <v>45993</v>
      </c>
      <c r="C491" t="s">
        <v>25</v>
      </c>
      <c r="D491" t="s">
        <v>27</v>
      </c>
      <c r="E491" t="s">
        <v>24</v>
      </c>
      <c r="F491">
        <v>3</v>
      </c>
      <c r="G491">
        <v>10997.81</v>
      </c>
      <c r="H491" t="s">
        <v>12</v>
      </c>
      <c r="I491">
        <f>Table1[[#This Row],[Qty]]*Table1[[#This Row],[Unit_Price]]</f>
        <v>32993.43</v>
      </c>
    </row>
    <row r="492" spans="1:9" x14ac:dyDescent="0.25">
      <c r="A492">
        <v>10491</v>
      </c>
      <c r="B492" s="1">
        <v>45684</v>
      </c>
      <c r="C492" t="s">
        <v>9</v>
      </c>
      <c r="D492" t="s">
        <v>31</v>
      </c>
      <c r="E492" t="s">
        <v>11</v>
      </c>
      <c r="F492">
        <v>3</v>
      </c>
      <c r="G492">
        <v>9406.7800000000007</v>
      </c>
      <c r="H492" t="s">
        <v>28</v>
      </c>
      <c r="I492">
        <f>Table1[[#This Row],[Qty]]*Table1[[#This Row],[Unit_Price]]</f>
        <v>28220.340000000004</v>
      </c>
    </row>
    <row r="493" spans="1:9" x14ac:dyDescent="0.25">
      <c r="A493">
        <v>10492</v>
      </c>
      <c r="B493" s="1">
        <v>45993</v>
      </c>
      <c r="C493" t="s">
        <v>16</v>
      </c>
      <c r="D493" t="s">
        <v>10</v>
      </c>
      <c r="E493" t="s">
        <v>11</v>
      </c>
      <c r="F493">
        <v>1</v>
      </c>
      <c r="G493">
        <v>450.11</v>
      </c>
      <c r="H493" t="s">
        <v>14</v>
      </c>
      <c r="I493">
        <f>Table1[[#This Row],[Qty]]*Table1[[#This Row],[Unit_Price]]</f>
        <v>450.11</v>
      </c>
    </row>
    <row r="494" spans="1:9" x14ac:dyDescent="0.25">
      <c r="A494">
        <v>10493</v>
      </c>
      <c r="B494" s="1">
        <v>45725</v>
      </c>
      <c r="C494" t="s">
        <v>33</v>
      </c>
      <c r="D494" t="s">
        <v>17</v>
      </c>
      <c r="E494" t="s">
        <v>11</v>
      </c>
      <c r="F494">
        <v>5</v>
      </c>
      <c r="G494">
        <v>12431.96</v>
      </c>
      <c r="H494" t="s">
        <v>14</v>
      </c>
      <c r="I494">
        <f>Table1[[#This Row],[Qty]]*Table1[[#This Row],[Unit_Price]]</f>
        <v>62159.799999999996</v>
      </c>
    </row>
    <row r="495" spans="1:9" x14ac:dyDescent="0.25">
      <c r="A495">
        <v>10494</v>
      </c>
      <c r="B495" s="1">
        <v>46014</v>
      </c>
      <c r="C495" t="s">
        <v>13</v>
      </c>
      <c r="D495" t="s">
        <v>27</v>
      </c>
      <c r="E495" t="s">
        <v>24</v>
      </c>
      <c r="F495">
        <v>1</v>
      </c>
      <c r="G495">
        <v>13171.57</v>
      </c>
      <c r="H495" t="s">
        <v>12</v>
      </c>
      <c r="I495">
        <f>Table1[[#This Row],[Qty]]*Table1[[#This Row],[Unit_Price]]</f>
        <v>13171.57</v>
      </c>
    </row>
    <row r="496" spans="1:9" x14ac:dyDescent="0.25">
      <c r="A496">
        <v>10495</v>
      </c>
      <c r="B496" s="1">
        <v>45902</v>
      </c>
      <c r="C496" t="s">
        <v>34</v>
      </c>
      <c r="D496" t="s">
        <v>10</v>
      </c>
      <c r="E496" t="s">
        <v>11</v>
      </c>
      <c r="F496">
        <v>2</v>
      </c>
      <c r="G496">
        <v>488.31</v>
      </c>
      <c r="H496" t="s">
        <v>14</v>
      </c>
      <c r="I496">
        <f>Table1[[#This Row],[Qty]]*Table1[[#This Row],[Unit_Price]]</f>
        <v>976.62</v>
      </c>
    </row>
    <row r="497" spans="1:9" x14ac:dyDescent="0.25">
      <c r="A497">
        <v>10496</v>
      </c>
      <c r="B497" s="1">
        <v>45710</v>
      </c>
      <c r="C497" t="s">
        <v>19</v>
      </c>
      <c r="D497" t="s">
        <v>27</v>
      </c>
      <c r="E497" t="s">
        <v>24</v>
      </c>
      <c r="F497">
        <v>3</v>
      </c>
      <c r="G497">
        <v>12914.37</v>
      </c>
      <c r="H497" t="s">
        <v>28</v>
      </c>
      <c r="I497">
        <f>Table1[[#This Row],[Qty]]*Table1[[#This Row],[Unit_Price]]</f>
        <v>38743.11</v>
      </c>
    </row>
    <row r="498" spans="1:9" x14ac:dyDescent="0.25">
      <c r="A498">
        <v>10497</v>
      </c>
      <c r="B498" s="1">
        <v>45726</v>
      </c>
      <c r="C498" t="s">
        <v>33</v>
      </c>
      <c r="D498" t="s">
        <v>20</v>
      </c>
      <c r="E498" t="s">
        <v>11</v>
      </c>
      <c r="F498">
        <v>1</v>
      </c>
      <c r="G498">
        <v>1509.15</v>
      </c>
      <c r="H498" t="s">
        <v>12</v>
      </c>
      <c r="I498">
        <f>Table1[[#This Row],[Qty]]*Table1[[#This Row],[Unit_Price]]</f>
        <v>1509.15</v>
      </c>
    </row>
    <row r="499" spans="1:9" x14ac:dyDescent="0.25">
      <c r="A499">
        <v>10498</v>
      </c>
      <c r="B499" s="1">
        <v>45883</v>
      </c>
      <c r="C499" t="s">
        <v>19</v>
      </c>
      <c r="D499" t="s">
        <v>27</v>
      </c>
      <c r="E499" t="s">
        <v>24</v>
      </c>
      <c r="F499">
        <v>2</v>
      </c>
      <c r="G499">
        <v>12307.39</v>
      </c>
      <c r="H499" t="s">
        <v>28</v>
      </c>
      <c r="I499">
        <f>Table1[[#This Row],[Qty]]*Table1[[#This Row],[Unit_Price]]</f>
        <v>24614.78</v>
      </c>
    </row>
    <row r="500" spans="1:9" x14ac:dyDescent="0.25">
      <c r="A500">
        <v>10499</v>
      </c>
      <c r="B500" s="1">
        <v>45973</v>
      </c>
      <c r="C500" t="s">
        <v>29</v>
      </c>
      <c r="D500" t="s">
        <v>32</v>
      </c>
      <c r="E500" t="s">
        <v>11</v>
      </c>
      <c r="F500">
        <v>2</v>
      </c>
      <c r="G500">
        <v>2293.34</v>
      </c>
      <c r="H500" t="s">
        <v>12</v>
      </c>
      <c r="I500">
        <f>Table1[[#This Row],[Qty]]*Table1[[#This Row],[Unit_Price]]</f>
        <v>4586.68</v>
      </c>
    </row>
    <row r="501" spans="1:9" x14ac:dyDescent="0.25">
      <c r="A501">
        <v>10500</v>
      </c>
      <c r="B501" s="1">
        <v>45721</v>
      </c>
      <c r="C501" t="s">
        <v>21</v>
      </c>
      <c r="D501" t="s">
        <v>31</v>
      </c>
      <c r="E501" t="s">
        <v>11</v>
      </c>
      <c r="F501">
        <v>3</v>
      </c>
      <c r="G501">
        <v>9833.85</v>
      </c>
      <c r="H501" t="s">
        <v>12</v>
      </c>
      <c r="I501">
        <f>Table1[[#This Row],[Qty]]*Table1[[#This Row],[Unit_Price]]</f>
        <v>29501.550000000003</v>
      </c>
    </row>
    <row r="502" spans="1:9" x14ac:dyDescent="0.25">
      <c r="A502">
        <v>10501</v>
      </c>
      <c r="B502" s="1">
        <v>45784</v>
      </c>
      <c r="C502" t="s">
        <v>15</v>
      </c>
      <c r="D502" t="s">
        <v>23</v>
      </c>
      <c r="E502" t="s">
        <v>24</v>
      </c>
      <c r="F502">
        <v>1</v>
      </c>
      <c r="G502">
        <v>6647.43</v>
      </c>
      <c r="H502" t="s">
        <v>18</v>
      </c>
      <c r="I502">
        <f>Table1[[#This Row],[Qty]]*Table1[[#This Row],[Unit_Price]]</f>
        <v>6647.43</v>
      </c>
    </row>
    <row r="503" spans="1:9" x14ac:dyDescent="0.25">
      <c r="A503">
        <v>10502</v>
      </c>
      <c r="B503" s="1">
        <v>46011</v>
      </c>
      <c r="C503" t="s">
        <v>15</v>
      </c>
      <c r="D503" t="s">
        <v>30</v>
      </c>
      <c r="E503" t="s">
        <v>11</v>
      </c>
      <c r="F503">
        <v>3</v>
      </c>
      <c r="G503">
        <v>47054.46</v>
      </c>
      <c r="H503" t="s">
        <v>12</v>
      </c>
      <c r="I503">
        <f>Table1[[#This Row],[Qty]]*Table1[[#This Row],[Unit_Price]]</f>
        <v>141163.38</v>
      </c>
    </row>
    <row r="504" spans="1:9" x14ac:dyDescent="0.25">
      <c r="A504">
        <v>10503</v>
      </c>
      <c r="B504" s="1">
        <v>45858</v>
      </c>
      <c r="C504" t="s">
        <v>9</v>
      </c>
      <c r="D504" t="s">
        <v>23</v>
      </c>
      <c r="E504" t="s">
        <v>24</v>
      </c>
      <c r="F504">
        <v>1</v>
      </c>
      <c r="G504">
        <v>7397.32</v>
      </c>
      <c r="H504" t="s">
        <v>28</v>
      </c>
      <c r="I504">
        <f>Table1[[#This Row],[Qty]]*Table1[[#This Row],[Unit_Price]]</f>
        <v>7397.32</v>
      </c>
    </row>
    <row r="505" spans="1:9" x14ac:dyDescent="0.25">
      <c r="A505">
        <v>10504</v>
      </c>
      <c r="B505" s="1">
        <v>45855</v>
      </c>
      <c r="C505" t="s">
        <v>15</v>
      </c>
      <c r="D505" t="s">
        <v>10</v>
      </c>
      <c r="E505" t="s">
        <v>11</v>
      </c>
      <c r="F505">
        <v>2</v>
      </c>
      <c r="G505">
        <v>499.96</v>
      </c>
      <c r="H505" t="s">
        <v>14</v>
      </c>
      <c r="I505">
        <f>Table1[[#This Row],[Qty]]*Table1[[#This Row],[Unit_Price]]</f>
        <v>999.92</v>
      </c>
    </row>
    <row r="506" spans="1:9" x14ac:dyDescent="0.25">
      <c r="A506">
        <v>10505</v>
      </c>
      <c r="B506" s="1">
        <v>45928</v>
      </c>
      <c r="C506" t="s">
        <v>19</v>
      </c>
      <c r="D506" t="s">
        <v>30</v>
      </c>
      <c r="E506" t="s">
        <v>11</v>
      </c>
      <c r="F506">
        <v>3</v>
      </c>
      <c r="G506">
        <v>54339.24</v>
      </c>
      <c r="H506" t="s">
        <v>28</v>
      </c>
      <c r="I506">
        <f>Table1[[#This Row],[Qty]]*Table1[[#This Row],[Unit_Price]]</f>
        <v>163017.72</v>
      </c>
    </row>
    <row r="507" spans="1:9" x14ac:dyDescent="0.25">
      <c r="A507">
        <v>10506</v>
      </c>
      <c r="B507" s="1">
        <v>45949</v>
      </c>
      <c r="C507" t="s">
        <v>19</v>
      </c>
      <c r="D507" t="s">
        <v>31</v>
      </c>
      <c r="E507" t="s">
        <v>11</v>
      </c>
      <c r="F507">
        <v>3</v>
      </c>
      <c r="G507">
        <v>9083.44</v>
      </c>
      <c r="H507" t="s">
        <v>28</v>
      </c>
      <c r="I507">
        <f>Table1[[#This Row],[Qty]]*Table1[[#This Row],[Unit_Price]]</f>
        <v>27250.32</v>
      </c>
    </row>
    <row r="508" spans="1:9" x14ac:dyDescent="0.25">
      <c r="A508">
        <v>10507</v>
      </c>
      <c r="B508" s="1">
        <v>45695</v>
      </c>
      <c r="C508" t="s">
        <v>26</v>
      </c>
      <c r="D508" t="s">
        <v>30</v>
      </c>
      <c r="E508" t="s">
        <v>11</v>
      </c>
      <c r="F508">
        <v>5</v>
      </c>
      <c r="G508">
        <v>45675.33</v>
      </c>
      <c r="H508" t="s">
        <v>12</v>
      </c>
      <c r="I508">
        <f>Table1[[#This Row],[Qty]]*Table1[[#This Row],[Unit_Price]]</f>
        <v>228376.65000000002</v>
      </c>
    </row>
    <row r="509" spans="1:9" x14ac:dyDescent="0.25">
      <c r="A509">
        <v>10508</v>
      </c>
      <c r="B509" s="1">
        <v>45678</v>
      </c>
      <c r="C509" t="s">
        <v>25</v>
      </c>
      <c r="D509" t="s">
        <v>30</v>
      </c>
      <c r="E509" t="s">
        <v>11</v>
      </c>
      <c r="F509">
        <v>4</v>
      </c>
      <c r="G509">
        <v>50066.11</v>
      </c>
      <c r="H509" t="s">
        <v>28</v>
      </c>
      <c r="I509">
        <f>Table1[[#This Row],[Qty]]*Table1[[#This Row],[Unit_Price]]</f>
        <v>200264.44</v>
      </c>
    </row>
    <row r="510" spans="1:9" x14ac:dyDescent="0.25">
      <c r="A510">
        <v>10509</v>
      </c>
      <c r="B510" s="1">
        <v>45874</v>
      </c>
      <c r="C510" t="s">
        <v>22</v>
      </c>
      <c r="D510" t="s">
        <v>31</v>
      </c>
      <c r="E510" t="s">
        <v>11</v>
      </c>
      <c r="F510">
        <v>1</v>
      </c>
      <c r="G510">
        <v>9252.9699999999993</v>
      </c>
      <c r="H510" t="s">
        <v>12</v>
      </c>
      <c r="I510">
        <f>Table1[[#This Row],[Qty]]*Table1[[#This Row],[Unit_Price]]</f>
        <v>9252.9699999999993</v>
      </c>
    </row>
    <row r="511" spans="1:9" x14ac:dyDescent="0.25">
      <c r="A511">
        <v>10510</v>
      </c>
      <c r="B511" s="1">
        <v>45800</v>
      </c>
      <c r="C511" t="s">
        <v>9</v>
      </c>
      <c r="D511" t="s">
        <v>10</v>
      </c>
      <c r="E511" t="s">
        <v>11</v>
      </c>
      <c r="F511">
        <v>3</v>
      </c>
      <c r="G511">
        <v>457.9</v>
      </c>
      <c r="H511" t="s">
        <v>12</v>
      </c>
      <c r="I511">
        <f>Table1[[#This Row],[Qty]]*Table1[[#This Row],[Unit_Price]]</f>
        <v>1373.6999999999998</v>
      </c>
    </row>
    <row r="512" spans="1:9" x14ac:dyDescent="0.25">
      <c r="A512">
        <v>10511</v>
      </c>
      <c r="B512" s="1">
        <v>45932</v>
      </c>
      <c r="C512" t="s">
        <v>25</v>
      </c>
      <c r="D512" t="s">
        <v>27</v>
      </c>
      <c r="E512" t="s">
        <v>24</v>
      </c>
      <c r="F512">
        <v>4</v>
      </c>
      <c r="G512">
        <v>12207.45</v>
      </c>
      <c r="H512" t="s">
        <v>14</v>
      </c>
      <c r="I512">
        <f>Table1[[#This Row],[Qty]]*Table1[[#This Row],[Unit_Price]]</f>
        <v>48829.8</v>
      </c>
    </row>
    <row r="513" spans="1:9" x14ac:dyDescent="0.25">
      <c r="A513">
        <v>10512</v>
      </c>
      <c r="B513" s="1">
        <v>45816</v>
      </c>
      <c r="C513" t="s">
        <v>29</v>
      </c>
      <c r="D513" t="s">
        <v>31</v>
      </c>
      <c r="E513" t="s">
        <v>11</v>
      </c>
      <c r="F513">
        <v>2</v>
      </c>
      <c r="G513">
        <v>8204.23</v>
      </c>
      <c r="H513" t="s">
        <v>28</v>
      </c>
      <c r="I513">
        <f>Table1[[#This Row],[Qty]]*Table1[[#This Row],[Unit_Price]]</f>
        <v>16408.46</v>
      </c>
    </row>
    <row r="514" spans="1:9" x14ac:dyDescent="0.25">
      <c r="A514">
        <v>10513</v>
      </c>
      <c r="B514" s="1">
        <v>45717</v>
      </c>
      <c r="C514" t="s">
        <v>26</v>
      </c>
      <c r="D514" t="s">
        <v>32</v>
      </c>
      <c r="E514" t="s">
        <v>11</v>
      </c>
      <c r="F514">
        <v>5</v>
      </c>
      <c r="G514">
        <v>2554.42</v>
      </c>
      <c r="H514" t="s">
        <v>12</v>
      </c>
      <c r="I514">
        <f>Table1[[#This Row],[Qty]]*Table1[[#This Row],[Unit_Price]]</f>
        <v>12772.1</v>
      </c>
    </row>
    <row r="515" spans="1:9" x14ac:dyDescent="0.25">
      <c r="A515">
        <v>10514</v>
      </c>
      <c r="B515" s="1">
        <v>45719</v>
      </c>
      <c r="C515" t="s">
        <v>19</v>
      </c>
      <c r="D515" t="s">
        <v>30</v>
      </c>
      <c r="E515" t="s">
        <v>11</v>
      </c>
      <c r="F515">
        <v>2</v>
      </c>
      <c r="G515">
        <v>52015</v>
      </c>
      <c r="H515" t="s">
        <v>28</v>
      </c>
      <c r="I515">
        <f>Table1[[#This Row],[Qty]]*Table1[[#This Row],[Unit_Price]]</f>
        <v>104030</v>
      </c>
    </row>
    <row r="516" spans="1:9" x14ac:dyDescent="0.25">
      <c r="A516">
        <v>10515</v>
      </c>
      <c r="B516" s="1">
        <v>45835</v>
      </c>
      <c r="C516" t="s">
        <v>34</v>
      </c>
      <c r="D516" t="s">
        <v>23</v>
      </c>
      <c r="E516" t="s">
        <v>24</v>
      </c>
      <c r="F516">
        <v>2</v>
      </c>
      <c r="G516">
        <v>6820.62</v>
      </c>
      <c r="H516" t="s">
        <v>18</v>
      </c>
      <c r="I516">
        <f>Table1[[#This Row],[Qty]]*Table1[[#This Row],[Unit_Price]]</f>
        <v>13641.24</v>
      </c>
    </row>
    <row r="517" spans="1:9" x14ac:dyDescent="0.25">
      <c r="A517">
        <v>10516</v>
      </c>
      <c r="B517" s="1">
        <v>45718</v>
      </c>
      <c r="C517" t="s">
        <v>26</v>
      </c>
      <c r="D517" t="s">
        <v>30</v>
      </c>
      <c r="E517" t="s">
        <v>11</v>
      </c>
      <c r="F517">
        <v>3</v>
      </c>
      <c r="G517">
        <v>53071.08</v>
      </c>
      <c r="H517" t="s">
        <v>14</v>
      </c>
      <c r="I517">
        <f>Table1[[#This Row],[Qty]]*Table1[[#This Row],[Unit_Price]]</f>
        <v>159213.24</v>
      </c>
    </row>
    <row r="518" spans="1:9" x14ac:dyDescent="0.25">
      <c r="A518">
        <v>10517</v>
      </c>
      <c r="B518" s="1">
        <v>45792</v>
      </c>
      <c r="C518" t="s">
        <v>21</v>
      </c>
      <c r="D518" t="s">
        <v>10</v>
      </c>
      <c r="E518" t="s">
        <v>11</v>
      </c>
      <c r="F518">
        <v>4</v>
      </c>
      <c r="G518">
        <v>495.52</v>
      </c>
      <c r="H518" t="s">
        <v>14</v>
      </c>
      <c r="I518">
        <f>Table1[[#This Row],[Qty]]*Table1[[#This Row],[Unit_Price]]</f>
        <v>1982.08</v>
      </c>
    </row>
    <row r="519" spans="1:9" x14ac:dyDescent="0.25">
      <c r="A519">
        <v>10518</v>
      </c>
      <c r="B519" s="1">
        <v>45913</v>
      </c>
      <c r="C519" t="s">
        <v>29</v>
      </c>
      <c r="D519" t="s">
        <v>20</v>
      </c>
      <c r="E519" t="s">
        <v>11</v>
      </c>
      <c r="F519">
        <v>3</v>
      </c>
      <c r="G519">
        <v>1397.19</v>
      </c>
      <c r="H519" t="s">
        <v>14</v>
      </c>
      <c r="I519">
        <f>Table1[[#This Row],[Qty]]*Table1[[#This Row],[Unit_Price]]</f>
        <v>4191.57</v>
      </c>
    </row>
    <row r="520" spans="1:9" x14ac:dyDescent="0.25">
      <c r="A520">
        <v>10519</v>
      </c>
      <c r="B520" s="1">
        <v>45774</v>
      </c>
      <c r="C520" t="s">
        <v>33</v>
      </c>
      <c r="D520" t="s">
        <v>30</v>
      </c>
      <c r="E520" t="s">
        <v>11</v>
      </c>
      <c r="F520">
        <v>1</v>
      </c>
      <c r="G520">
        <v>53586.89</v>
      </c>
      <c r="H520" t="s">
        <v>12</v>
      </c>
      <c r="I520">
        <f>Table1[[#This Row],[Qty]]*Table1[[#This Row],[Unit_Price]]</f>
        <v>53586.89</v>
      </c>
    </row>
    <row r="521" spans="1:9" x14ac:dyDescent="0.25">
      <c r="A521">
        <v>10520</v>
      </c>
      <c r="B521" s="1">
        <v>45681</v>
      </c>
      <c r="C521" t="s">
        <v>19</v>
      </c>
      <c r="D521" t="s">
        <v>32</v>
      </c>
      <c r="E521" t="s">
        <v>11</v>
      </c>
      <c r="F521">
        <v>3</v>
      </c>
      <c r="G521">
        <v>2441.4899999999998</v>
      </c>
      <c r="H521" t="s">
        <v>12</v>
      </c>
      <c r="I521">
        <f>Table1[[#This Row],[Qty]]*Table1[[#This Row],[Unit_Price]]</f>
        <v>7324.4699999999993</v>
      </c>
    </row>
    <row r="522" spans="1:9" x14ac:dyDescent="0.25">
      <c r="A522">
        <v>10521</v>
      </c>
      <c r="B522" s="1">
        <v>45676</v>
      </c>
      <c r="C522" t="s">
        <v>13</v>
      </c>
      <c r="D522" t="s">
        <v>31</v>
      </c>
      <c r="E522" t="s">
        <v>11</v>
      </c>
      <c r="F522">
        <v>2</v>
      </c>
      <c r="G522">
        <v>8679.24</v>
      </c>
      <c r="H522" t="s">
        <v>18</v>
      </c>
      <c r="I522">
        <f>Table1[[#This Row],[Qty]]*Table1[[#This Row],[Unit_Price]]</f>
        <v>17358.48</v>
      </c>
    </row>
    <row r="523" spans="1:9" x14ac:dyDescent="0.25">
      <c r="A523">
        <v>10522</v>
      </c>
      <c r="B523" s="1">
        <v>45796</v>
      </c>
      <c r="C523" t="s">
        <v>22</v>
      </c>
      <c r="D523" t="s">
        <v>10</v>
      </c>
      <c r="E523" t="s">
        <v>11</v>
      </c>
      <c r="F523">
        <v>5</v>
      </c>
      <c r="G523">
        <v>487.28</v>
      </c>
      <c r="H523" t="s">
        <v>14</v>
      </c>
      <c r="I523">
        <f>Table1[[#This Row],[Qty]]*Table1[[#This Row],[Unit_Price]]</f>
        <v>2436.3999999999996</v>
      </c>
    </row>
    <row r="524" spans="1:9" x14ac:dyDescent="0.25">
      <c r="A524">
        <v>10523</v>
      </c>
      <c r="B524" s="1">
        <v>45749</v>
      </c>
      <c r="C524" t="s">
        <v>13</v>
      </c>
      <c r="D524" t="s">
        <v>17</v>
      </c>
      <c r="E524" t="s">
        <v>11</v>
      </c>
      <c r="F524">
        <v>5</v>
      </c>
      <c r="G524">
        <v>13155.39</v>
      </c>
      <c r="H524" t="s">
        <v>14</v>
      </c>
      <c r="I524">
        <f>Table1[[#This Row],[Qty]]*Table1[[#This Row],[Unit_Price]]</f>
        <v>65776.95</v>
      </c>
    </row>
    <row r="525" spans="1:9" x14ac:dyDescent="0.25">
      <c r="A525">
        <v>10524</v>
      </c>
      <c r="B525" s="1">
        <v>45896</v>
      </c>
      <c r="C525" t="s">
        <v>22</v>
      </c>
      <c r="D525" t="s">
        <v>23</v>
      </c>
      <c r="E525" t="s">
        <v>24</v>
      </c>
      <c r="F525">
        <v>3</v>
      </c>
      <c r="G525">
        <v>6758.22</v>
      </c>
      <c r="H525" t="s">
        <v>28</v>
      </c>
      <c r="I525">
        <f>Table1[[#This Row],[Qty]]*Table1[[#This Row],[Unit_Price]]</f>
        <v>20274.66</v>
      </c>
    </row>
    <row r="526" spans="1:9" x14ac:dyDescent="0.25">
      <c r="A526">
        <v>10525</v>
      </c>
      <c r="B526" s="1">
        <v>45662</v>
      </c>
      <c r="C526" t="s">
        <v>26</v>
      </c>
      <c r="D526" t="s">
        <v>27</v>
      </c>
      <c r="E526" t="s">
        <v>24</v>
      </c>
      <c r="F526">
        <v>2</v>
      </c>
      <c r="G526">
        <v>11499.83</v>
      </c>
      <c r="H526" t="s">
        <v>12</v>
      </c>
      <c r="I526">
        <f>Table1[[#This Row],[Qty]]*Table1[[#This Row],[Unit_Price]]</f>
        <v>22999.66</v>
      </c>
    </row>
    <row r="527" spans="1:9" x14ac:dyDescent="0.25">
      <c r="A527">
        <v>10526</v>
      </c>
      <c r="B527" s="1">
        <v>45895</v>
      </c>
      <c r="C527" t="s">
        <v>9</v>
      </c>
      <c r="D527" t="s">
        <v>27</v>
      </c>
      <c r="E527" t="s">
        <v>24</v>
      </c>
      <c r="F527">
        <v>5</v>
      </c>
      <c r="G527">
        <v>13132.46</v>
      </c>
      <c r="H527" t="s">
        <v>12</v>
      </c>
      <c r="I527">
        <f>Table1[[#This Row],[Qty]]*Table1[[#This Row],[Unit_Price]]</f>
        <v>65662.299999999988</v>
      </c>
    </row>
    <row r="528" spans="1:9" x14ac:dyDescent="0.25">
      <c r="A528">
        <v>10527</v>
      </c>
      <c r="B528" s="1">
        <v>45735</v>
      </c>
      <c r="C528" t="s">
        <v>22</v>
      </c>
      <c r="D528" t="s">
        <v>30</v>
      </c>
      <c r="E528" t="s">
        <v>11</v>
      </c>
      <c r="F528">
        <v>4</v>
      </c>
      <c r="G528">
        <v>45239.1</v>
      </c>
      <c r="H528" t="s">
        <v>18</v>
      </c>
      <c r="I528">
        <f>Table1[[#This Row],[Qty]]*Table1[[#This Row],[Unit_Price]]</f>
        <v>180956.4</v>
      </c>
    </row>
    <row r="529" spans="1:9" x14ac:dyDescent="0.25">
      <c r="A529">
        <v>10528</v>
      </c>
      <c r="B529" s="1">
        <v>45983</v>
      </c>
      <c r="C529" t="s">
        <v>25</v>
      </c>
      <c r="D529" t="s">
        <v>30</v>
      </c>
      <c r="E529" t="s">
        <v>11</v>
      </c>
      <c r="F529">
        <v>3</v>
      </c>
      <c r="G529">
        <v>45014.62</v>
      </c>
      <c r="H529" t="s">
        <v>28</v>
      </c>
      <c r="I529">
        <f>Table1[[#This Row],[Qty]]*Table1[[#This Row],[Unit_Price]]</f>
        <v>135043.86000000002</v>
      </c>
    </row>
    <row r="530" spans="1:9" x14ac:dyDescent="0.25">
      <c r="A530">
        <v>10529</v>
      </c>
      <c r="B530" s="1">
        <v>45815</v>
      </c>
      <c r="C530" t="s">
        <v>9</v>
      </c>
      <c r="D530" t="s">
        <v>10</v>
      </c>
      <c r="E530" t="s">
        <v>11</v>
      </c>
      <c r="F530">
        <v>2</v>
      </c>
      <c r="G530">
        <v>502.98</v>
      </c>
      <c r="H530" t="s">
        <v>28</v>
      </c>
      <c r="I530">
        <f>Table1[[#This Row],[Qty]]*Table1[[#This Row],[Unit_Price]]</f>
        <v>1005.96</v>
      </c>
    </row>
    <row r="531" spans="1:9" x14ac:dyDescent="0.25">
      <c r="A531">
        <v>10530</v>
      </c>
      <c r="B531" s="1">
        <v>45909</v>
      </c>
      <c r="C531" t="s">
        <v>29</v>
      </c>
      <c r="D531" t="s">
        <v>30</v>
      </c>
      <c r="E531" t="s">
        <v>11</v>
      </c>
      <c r="F531">
        <v>2</v>
      </c>
      <c r="G531">
        <v>52116.52</v>
      </c>
      <c r="H531" t="s">
        <v>14</v>
      </c>
      <c r="I531">
        <f>Table1[[#This Row],[Qty]]*Table1[[#This Row],[Unit_Price]]</f>
        <v>104233.04</v>
      </c>
    </row>
    <row r="532" spans="1:9" x14ac:dyDescent="0.25">
      <c r="A532">
        <v>10531</v>
      </c>
      <c r="B532" s="1">
        <v>45776</v>
      </c>
      <c r="C532" t="s">
        <v>34</v>
      </c>
      <c r="D532" t="s">
        <v>31</v>
      </c>
      <c r="E532" t="s">
        <v>11</v>
      </c>
      <c r="F532">
        <v>3</v>
      </c>
      <c r="G532">
        <v>8925.2199999999993</v>
      </c>
      <c r="H532" t="s">
        <v>14</v>
      </c>
      <c r="I532">
        <f>Table1[[#This Row],[Qty]]*Table1[[#This Row],[Unit_Price]]</f>
        <v>26775.659999999996</v>
      </c>
    </row>
    <row r="533" spans="1:9" x14ac:dyDescent="0.25">
      <c r="A533">
        <v>10532</v>
      </c>
      <c r="B533" s="1">
        <v>45955</v>
      </c>
      <c r="C533" t="s">
        <v>13</v>
      </c>
      <c r="D533" t="s">
        <v>10</v>
      </c>
      <c r="E533" t="s">
        <v>11</v>
      </c>
      <c r="F533">
        <v>5</v>
      </c>
      <c r="G533">
        <v>463.35</v>
      </c>
      <c r="H533" t="s">
        <v>14</v>
      </c>
      <c r="I533">
        <f>Table1[[#This Row],[Qty]]*Table1[[#This Row],[Unit_Price]]</f>
        <v>2316.75</v>
      </c>
    </row>
    <row r="534" spans="1:9" x14ac:dyDescent="0.25">
      <c r="A534">
        <v>10533</v>
      </c>
      <c r="B534" s="1">
        <v>45961</v>
      </c>
      <c r="C534" t="s">
        <v>19</v>
      </c>
      <c r="D534" t="s">
        <v>30</v>
      </c>
      <c r="E534" t="s">
        <v>11</v>
      </c>
      <c r="F534">
        <v>4</v>
      </c>
      <c r="G534">
        <v>51624.44</v>
      </c>
      <c r="H534" t="s">
        <v>12</v>
      </c>
      <c r="I534">
        <f>Table1[[#This Row],[Qty]]*Table1[[#This Row],[Unit_Price]]</f>
        <v>206497.76</v>
      </c>
    </row>
    <row r="535" spans="1:9" x14ac:dyDescent="0.25">
      <c r="A535">
        <v>10534</v>
      </c>
      <c r="B535" s="1">
        <v>45807</v>
      </c>
      <c r="C535" t="s">
        <v>13</v>
      </c>
      <c r="D535" t="s">
        <v>23</v>
      </c>
      <c r="E535" t="s">
        <v>24</v>
      </c>
      <c r="F535">
        <v>3</v>
      </c>
      <c r="G535">
        <v>7596.46</v>
      </c>
      <c r="H535" t="s">
        <v>18</v>
      </c>
      <c r="I535">
        <f>Table1[[#This Row],[Qty]]*Table1[[#This Row],[Unit_Price]]</f>
        <v>22789.38</v>
      </c>
    </row>
    <row r="536" spans="1:9" x14ac:dyDescent="0.25">
      <c r="A536">
        <v>10535</v>
      </c>
      <c r="B536" s="1">
        <v>45820</v>
      </c>
      <c r="C536" t="s">
        <v>9</v>
      </c>
      <c r="D536" t="s">
        <v>32</v>
      </c>
      <c r="E536" t="s">
        <v>11</v>
      </c>
      <c r="F536">
        <v>3</v>
      </c>
      <c r="G536">
        <v>2366.81</v>
      </c>
      <c r="H536" t="s">
        <v>12</v>
      </c>
      <c r="I536">
        <f>Table1[[#This Row],[Qty]]*Table1[[#This Row],[Unit_Price]]</f>
        <v>7100.43</v>
      </c>
    </row>
    <row r="537" spans="1:9" x14ac:dyDescent="0.25">
      <c r="A537">
        <v>10536</v>
      </c>
      <c r="B537" s="1">
        <v>45957</v>
      </c>
      <c r="C537" t="s">
        <v>16</v>
      </c>
      <c r="D537" t="s">
        <v>10</v>
      </c>
      <c r="E537" t="s">
        <v>11</v>
      </c>
      <c r="F537">
        <v>2</v>
      </c>
      <c r="G537">
        <v>460.57</v>
      </c>
      <c r="H537" t="s">
        <v>28</v>
      </c>
      <c r="I537">
        <f>Table1[[#This Row],[Qty]]*Table1[[#This Row],[Unit_Price]]</f>
        <v>921.14</v>
      </c>
    </row>
    <row r="538" spans="1:9" x14ac:dyDescent="0.25">
      <c r="A538">
        <v>10537</v>
      </c>
      <c r="B538" s="1">
        <v>45818</v>
      </c>
      <c r="C538" t="s">
        <v>9</v>
      </c>
      <c r="D538" t="s">
        <v>31</v>
      </c>
      <c r="E538" t="s">
        <v>11</v>
      </c>
      <c r="F538">
        <v>1</v>
      </c>
      <c r="G538">
        <v>9064.66</v>
      </c>
      <c r="H538" t="s">
        <v>28</v>
      </c>
      <c r="I538">
        <f>Table1[[#This Row],[Qty]]*Table1[[#This Row],[Unit_Price]]</f>
        <v>9064.66</v>
      </c>
    </row>
    <row r="539" spans="1:9" x14ac:dyDescent="0.25">
      <c r="A539">
        <v>10538</v>
      </c>
      <c r="B539" s="1">
        <v>45815</v>
      </c>
      <c r="C539" t="s">
        <v>29</v>
      </c>
      <c r="D539" t="s">
        <v>32</v>
      </c>
      <c r="E539" t="s">
        <v>11</v>
      </c>
      <c r="F539">
        <v>3</v>
      </c>
      <c r="G539">
        <v>2676.24</v>
      </c>
      <c r="H539" t="s">
        <v>12</v>
      </c>
      <c r="I539">
        <f>Table1[[#This Row],[Qty]]*Table1[[#This Row],[Unit_Price]]</f>
        <v>8028.7199999999993</v>
      </c>
    </row>
    <row r="540" spans="1:9" x14ac:dyDescent="0.25">
      <c r="A540">
        <v>10539</v>
      </c>
      <c r="B540" s="1">
        <v>46009</v>
      </c>
      <c r="C540" t="s">
        <v>21</v>
      </c>
      <c r="D540" t="s">
        <v>23</v>
      </c>
      <c r="E540" t="s">
        <v>24</v>
      </c>
      <c r="F540">
        <v>5</v>
      </c>
      <c r="G540">
        <v>6356.46</v>
      </c>
      <c r="H540" t="s">
        <v>12</v>
      </c>
      <c r="I540">
        <f>Table1[[#This Row],[Qty]]*Table1[[#This Row],[Unit_Price]]</f>
        <v>31782.3</v>
      </c>
    </row>
    <row r="541" spans="1:9" x14ac:dyDescent="0.25">
      <c r="A541">
        <v>10540</v>
      </c>
      <c r="B541" s="1">
        <v>45704</v>
      </c>
      <c r="C541" t="s">
        <v>33</v>
      </c>
      <c r="D541" t="s">
        <v>17</v>
      </c>
      <c r="E541" t="s">
        <v>11</v>
      </c>
      <c r="F541">
        <v>3</v>
      </c>
      <c r="G541">
        <v>11750.99</v>
      </c>
      <c r="H541" t="s">
        <v>18</v>
      </c>
      <c r="I541">
        <f>Table1[[#This Row],[Qty]]*Table1[[#This Row],[Unit_Price]]</f>
        <v>35252.97</v>
      </c>
    </row>
    <row r="542" spans="1:9" x14ac:dyDescent="0.25">
      <c r="A542">
        <v>10541</v>
      </c>
      <c r="B542" s="1">
        <v>45791</v>
      </c>
      <c r="C542" t="s">
        <v>16</v>
      </c>
      <c r="D542" t="s">
        <v>20</v>
      </c>
      <c r="E542" t="s">
        <v>11</v>
      </c>
      <c r="F542">
        <v>1</v>
      </c>
      <c r="G542">
        <v>1635.63</v>
      </c>
      <c r="H542" t="s">
        <v>12</v>
      </c>
      <c r="I542">
        <f>Table1[[#This Row],[Qty]]*Table1[[#This Row],[Unit_Price]]</f>
        <v>1635.63</v>
      </c>
    </row>
    <row r="543" spans="1:9" x14ac:dyDescent="0.25">
      <c r="A543">
        <v>10542</v>
      </c>
      <c r="B543" s="1">
        <v>45706</v>
      </c>
      <c r="C543" t="s">
        <v>19</v>
      </c>
      <c r="D543" t="s">
        <v>32</v>
      </c>
      <c r="E543" t="s">
        <v>11</v>
      </c>
      <c r="F543">
        <v>1</v>
      </c>
      <c r="G543">
        <v>2651.95</v>
      </c>
      <c r="H543" t="s">
        <v>14</v>
      </c>
      <c r="I543">
        <f>Table1[[#This Row],[Qty]]*Table1[[#This Row],[Unit_Price]]</f>
        <v>2651.95</v>
      </c>
    </row>
    <row r="544" spans="1:9" x14ac:dyDescent="0.25">
      <c r="A544">
        <v>10543</v>
      </c>
      <c r="B544" s="1">
        <v>45664</v>
      </c>
      <c r="C544" t="s">
        <v>13</v>
      </c>
      <c r="D544" t="s">
        <v>30</v>
      </c>
      <c r="E544" t="s">
        <v>11</v>
      </c>
      <c r="F544">
        <v>2</v>
      </c>
      <c r="G544">
        <v>46307.15</v>
      </c>
      <c r="H544" t="s">
        <v>18</v>
      </c>
      <c r="I544">
        <f>Table1[[#This Row],[Qty]]*Table1[[#This Row],[Unit_Price]]</f>
        <v>92614.3</v>
      </c>
    </row>
    <row r="545" spans="1:9" x14ac:dyDescent="0.25">
      <c r="A545">
        <v>10544</v>
      </c>
      <c r="B545" s="1">
        <v>46009</v>
      </c>
      <c r="C545" t="s">
        <v>29</v>
      </c>
      <c r="D545" t="s">
        <v>10</v>
      </c>
      <c r="E545" t="s">
        <v>11</v>
      </c>
      <c r="F545">
        <v>5</v>
      </c>
      <c r="G545">
        <v>508.61</v>
      </c>
      <c r="H545" t="s">
        <v>14</v>
      </c>
      <c r="I545">
        <f>Table1[[#This Row],[Qty]]*Table1[[#This Row],[Unit_Price]]</f>
        <v>2543.0500000000002</v>
      </c>
    </row>
    <row r="546" spans="1:9" x14ac:dyDescent="0.25">
      <c r="A546">
        <v>10545</v>
      </c>
      <c r="B546" s="1">
        <v>45691</v>
      </c>
      <c r="C546" t="s">
        <v>29</v>
      </c>
      <c r="D546" t="s">
        <v>17</v>
      </c>
      <c r="E546" t="s">
        <v>11</v>
      </c>
      <c r="F546">
        <v>4</v>
      </c>
      <c r="G546">
        <v>12742.32</v>
      </c>
      <c r="H546" t="s">
        <v>18</v>
      </c>
      <c r="I546">
        <f>Table1[[#This Row],[Qty]]*Table1[[#This Row],[Unit_Price]]</f>
        <v>50969.279999999999</v>
      </c>
    </row>
    <row r="547" spans="1:9" x14ac:dyDescent="0.25">
      <c r="A547">
        <v>10546</v>
      </c>
      <c r="B547" s="1">
        <v>45720</v>
      </c>
      <c r="C547" t="s">
        <v>15</v>
      </c>
      <c r="D547" t="s">
        <v>30</v>
      </c>
      <c r="E547" t="s">
        <v>11</v>
      </c>
      <c r="F547">
        <v>4</v>
      </c>
      <c r="G547">
        <v>45506.38</v>
      </c>
      <c r="H547" t="s">
        <v>28</v>
      </c>
      <c r="I547">
        <f>Table1[[#This Row],[Qty]]*Table1[[#This Row],[Unit_Price]]</f>
        <v>182025.52</v>
      </c>
    </row>
    <row r="548" spans="1:9" x14ac:dyDescent="0.25">
      <c r="A548">
        <v>10547</v>
      </c>
      <c r="B548" s="1">
        <v>45860</v>
      </c>
      <c r="C548" t="s">
        <v>13</v>
      </c>
      <c r="D548" t="s">
        <v>32</v>
      </c>
      <c r="E548" t="s">
        <v>11</v>
      </c>
      <c r="F548">
        <v>1</v>
      </c>
      <c r="G548">
        <v>2441.36</v>
      </c>
      <c r="H548" t="s">
        <v>12</v>
      </c>
      <c r="I548">
        <f>Table1[[#This Row],[Qty]]*Table1[[#This Row],[Unit_Price]]</f>
        <v>2441.36</v>
      </c>
    </row>
    <row r="549" spans="1:9" x14ac:dyDescent="0.25">
      <c r="A549">
        <v>10548</v>
      </c>
      <c r="B549" s="1">
        <v>45839</v>
      </c>
      <c r="C549" t="s">
        <v>16</v>
      </c>
      <c r="D549" t="s">
        <v>17</v>
      </c>
      <c r="E549" t="s">
        <v>11</v>
      </c>
      <c r="F549">
        <v>2</v>
      </c>
      <c r="G549">
        <v>11459.96</v>
      </c>
      <c r="H549" t="s">
        <v>12</v>
      </c>
      <c r="I549">
        <f>Table1[[#This Row],[Qty]]*Table1[[#This Row],[Unit_Price]]</f>
        <v>22919.919999999998</v>
      </c>
    </row>
    <row r="550" spans="1:9" x14ac:dyDescent="0.25">
      <c r="A550">
        <v>10549</v>
      </c>
      <c r="B550" s="1">
        <v>45675</v>
      </c>
      <c r="C550" t="s">
        <v>22</v>
      </c>
      <c r="D550" t="s">
        <v>17</v>
      </c>
      <c r="E550" t="s">
        <v>11</v>
      </c>
      <c r="F550">
        <v>3</v>
      </c>
      <c r="G550">
        <v>11997.34</v>
      </c>
      <c r="H550" t="s">
        <v>28</v>
      </c>
      <c r="I550">
        <f>Table1[[#This Row],[Qty]]*Table1[[#This Row],[Unit_Price]]</f>
        <v>35992.020000000004</v>
      </c>
    </row>
    <row r="551" spans="1:9" x14ac:dyDescent="0.25">
      <c r="A551">
        <v>10550</v>
      </c>
      <c r="B551" s="1">
        <v>45689</v>
      </c>
      <c r="C551" t="s">
        <v>13</v>
      </c>
      <c r="D551" t="s">
        <v>10</v>
      </c>
      <c r="E551" t="s">
        <v>11</v>
      </c>
      <c r="F551">
        <v>3</v>
      </c>
      <c r="G551">
        <v>488.3</v>
      </c>
      <c r="H551" t="s">
        <v>12</v>
      </c>
      <c r="I551">
        <f>Table1[[#This Row],[Qty]]*Table1[[#This Row],[Unit_Price]]</f>
        <v>1464.9</v>
      </c>
    </row>
    <row r="552" spans="1:9" x14ac:dyDescent="0.25">
      <c r="A552">
        <v>10551</v>
      </c>
      <c r="B552" s="1">
        <v>45987</v>
      </c>
      <c r="C552" t="s">
        <v>13</v>
      </c>
      <c r="D552" t="s">
        <v>17</v>
      </c>
      <c r="E552" t="s">
        <v>11</v>
      </c>
      <c r="F552">
        <v>5</v>
      </c>
      <c r="G552">
        <v>12707.63</v>
      </c>
      <c r="H552" t="s">
        <v>18</v>
      </c>
      <c r="I552">
        <f>Table1[[#This Row],[Qty]]*Table1[[#This Row],[Unit_Price]]</f>
        <v>63538.149999999994</v>
      </c>
    </row>
    <row r="553" spans="1:9" x14ac:dyDescent="0.25">
      <c r="A553">
        <v>10552</v>
      </c>
      <c r="B553" s="1">
        <v>45903</v>
      </c>
      <c r="C553" t="s">
        <v>22</v>
      </c>
      <c r="D553" t="s">
        <v>32</v>
      </c>
      <c r="E553" t="s">
        <v>11</v>
      </c>
      <c r="F553">
        <v>3</v>
      </c>
      <c r="G553">
        <v>2706.34</v>
      </c>
      <c r="H553" t="s">
        <v>18</v>
      </c>
      <c r="I553">
        <f>Table1[[#This Row],[Qty]]*Table1[[#This Row],[Unit_Price]]</f>
        <v>8119.02</v>
      </c>
    </row>
    <row r="554" spans="1:9" x14ac:dyDescent="0.25">
      <c r="A554">
        <v>10553</v>
      </c>
      <c r="B554" s="1">
        <v>45856</v>
      </c>
      <c r="C554" t="s">
        <v>15</v>
      </c>
      <c r="D554" t="s">
        <v>23</v>
      </c>
      <c r="E554" t="s">
        <v>24</v>
      </c>
      <c r="F554">
        <v>2</v>
      </c>
      <c r="G554">
        <v>6336.49</v>
      </c>
      <c r="H554" t="s">
        <v>12</v>
      </c>
      <c r="I554">
        <f>Table1[[#This Row],[Qty]]*Table1[[#This Row],[Unit_Price]]</f>
        <v>12672.98</v>
      </c>
    </row>
    <row r="555" spans="1:9" x14ac:dyDescent="0.25">
      <c r="A555">
        <v>10554</v>
      </c>
      <c r="B555" s="1">
        <v>45673</v>
      </c>
      <c r="C555" t="s">
        <v>16</v>
      </c>
      <c r="D555" t="s">
        <v>23</v>
      </c>
      <c r="E555" t="s">
        <v>24</v>
      </c>
      <c r="F555">
        <v>1</v>
      </c>
      <c r="G555">
        <v>7432.12</v>
      </c>
      <c r="H555" t="s">
        <v>18</v>
      </c>
      <c r="I555">
        <f>Table1[[#This Row],[Qty]]*Table1[[#This Row],[Unit_Price]]</f>
        <v>7432.12</v>
      </c>
    </row>
    <row r="556" spans="1:9" x14ac:dyDescent="0.25">
      <c r="A556">
        <v>10555</v>
      </c>
      <c r="B556" s="1">
        <v>45957</v>
      </c>
      <c r="C556" t="s">
        <v>25</v>
      </c>
      <c r="D556" t="s">
        <v>17</v>
      </c>
      <c r="E556" t="s">
        <v>11</v>
      </c>
      <c r="F556">
        <v>2</v>
      </c>
      <c r="G556">
        <v>11040.32</v>
      </c>
      <c r="H556" t="s">
        <v>12</v>
      </c>
      <c r="I556">
        <f>Table1[[#This Row],[Qty]]*Table1[[#This Row],[Unit_Price]]</f>
        <v>22080.639999999999</v>
      </c>
    </row>
    <row r="557" spans="1:9" x14ac:dyDescent="0.25">
      <c r="A557">
        <v>10556</v>
      </c>
      <c r="B557" s="1">
        <v>45794</v>
      </c>
      <c r="C557" t="s">
        <v>13</v>
      </c>
      <c r="D557" t="s">
        <v>30</v>
      </c>
      <c r="E557" t="s">
        <v>11</v>
      </c>
      <c r="F557">
        <v>2</v>
      </c>
      <c r="G557">
        <v>50756.92</v>
      </c>
      <c r="H557" t="s">
        <v>18</v>
      </c>
      <c r="I557">
        <f>Table1[[#This Row],[Qty]]*Table1[[#This Row],[Unit_Price]]</f>
        <v>101513.84</v>
      </c>
    </row>
    <row r="558" spans="1:9" x14ac:dyDescent="0.25">
      <c r="A558">
        <v>10557</v>
      </c>
      <c r="B558" s="1">
        <v>45746</v>
      </c>
      <c r="C558" t="s">
        <v>34</v>
      </c>
      <c r="D558" t="s">
        <v>20</v>
      </c>
      <c r="E558" t="s">
        <v>11</v>
      </c>
      <c r="F558">
        <v>2</v>
      </c>
      <c r="G558">
        <v>1527.76</v>
      </c>
      <c r="H558" t="s">
        <v>18</v>
      </c>
      <c r="I558">
        <f>Table1[[#This Row],[Qty]]*Table1[[#This Row],[Unit_Price]]</f>
        <v>3055.52</v>
      </c>
    </row>
    <row r="559" spans="1:9" x14ac:dyDescent="0.25">
      <c r="A559">
        <v>10558</v>
      </c>
      <c r="B559" s="1">
        <v>45960</v>
      </c>
      <c r="C559" t="s">
        <v>15</v>
      </c>
      <c r="D559" t="s">
        <v>30</v>
      </c>
      <c r="E559" t="s">
        <v>11</v>
      </c>
      <c r="F559">
        <v>3</v>
      </c>
      <c r="G559">
        <v>54475.59</v>
      </c>
      <c r="H559" t="s">
        <v>12</v>
      </c>
      <c r="I559">
        <f>Table1[[#This Row],[Qty]]*Table1[[#This Row],[Unit_Price]]</f>
        <v>163426.76999999999</v>
      </c>
    </row>
    <row r="560" spans="1:9" x14ac:dyDescent="0.25">
      <c r="A560">
        <v>10559</v>
      </c>
      <c r="B560" s="1">
        <v>45946</v>
      </c>
      <c r="C560" t="s">
        <v>19</v>
      </c>
      <c r="D560" t="s">
        <v>17</v>
      </c>
      <c r="E560" t="s">
        <v>11</v>
      </c>
      <c r="F560">
        <v>4</v>
      </c>
      <c r="G560">
        <v>12101.1</v>
      </c>
      <c r="H560" t="s">
        <v>28</v>
      </c>
      <c r="I560">
        <f>Table1[[#This Row],[Qty]]*Table1[[#This Row],[Unit_Price]]</f>
        <v>48404.4</v>
      </c>
    </row>
    <row r="561" spans="1:9" x14ac:dyDescent="0.25">
      <c r="A561">
        <v>10560</v>
      </c>
      <c r="B561" s="1">
        <v>45677</v>
      </c>
      <c r="C561" t="s">
        <v>9</v>
      </c>
      <c r="D561" t="s">
        <v>10</v>
      </c>
      <c r="E561" t="s">
        <v>11</v>
      </c>
      <c r="F561">
        <v>1</v>
      </c>
      <c r="G561">
        <v>473.26</v>
      </c>
      <c r="H561" t="s">
        <v>14</v>
      </c>
      <c r="I561">
        <f>Table1[[#This Row],[Qty]]*Table1[[#This Row],[Unit_Price]]</f>
        <v>473.26</v>
      </c>
    </row>
    <row r="562" spans="1:9" x14ac:dyDescent="0.25">
      <c r="A562">
        <v>10561</v>
      </c>
      <c r="B562" s="1">
        <v>45927</v>
      </c>
      <c r="C562" t="s">
        <v>15</v>
      </c>
      <c r="D562" t="s">
        <v>32</v>
      </c>
      <c r="E562" t="s">
        <v>11</v>
      </c>
      <c r="F562">
        <v>1</v>
      </c>
      <c r="G562">
        <v>2415.87</v>
      </c>
      <c r="H562" t="s">
        <v>12</v>
      </c>
      <c r="I562">
        <f>Table1[[#This Row],[Qty]]*Table1[[#This Row],[Unit_Price]]</f>
        <v>2415.87</v>
      </c>
    </row>
    <row r="563" spans="1:9" x14ac:dyDescent="0.25">
      <c r="A563">
        <v>10562</v>
      </c>
      <c r="B563" s="1">
        <v>45724</v>
      </c>
      <c r="C563" t="s">
        <v>21</v>
      </c>
      <c r="D563" t="s">
        <v>27</v>
      </c>
      <c r="E563" t="s">
        <v>24</v>
      </c>
      <c r="F563">
        <v>2</v>
      </c>
      <c r="G563">
        <v>13005.07</v>
      </c>
      <c r="H563" t="s">
        <v>14</v>
      </c>
      <c r="I563">
        <f>Table1[[#This Row],[Qty]]*Table1[[#This Row],[Unit_Price]]</f>
        <v>26010.14</v>
      </c>
    </row>
    <row r="564" spans="1:9" x14ac:dyDescent="0.25">
      <c r="A564">
        <v>10563</v>
      </c>
      <c r="B564" s="1">
        <v>45669</v>
      </c>
      <c r="C564" t="s">
        <v>19</v>
      </c>
      <c r="D564" t="s">
        <v>20</v>
      </c>
      <c r="E564" t="s">
        <v>11</v>
      </c>
      <c r="F564">
        <v>5</v>
      </c>
      <c r="G564">
        <v>1561.41</v>
      </c>
      <c r="H564" t="s">
        <v>14</v>
      </c>
      <c r="I564">
        <f>Table1[[#This Row],[Qty]]*Table1[[#This Row],[Unit_Price]]</f>
        <v>7807.05</v>
      </c>
    </row>
    <row r="565" spans="1:9" x14ac:dyDescent="0.25">
      <c r="A565">
        <v>10564</v>
      </c>
      <c r="B565" s="1">
        <v>45927</v>
      </c>
      <c r="C565" t="s">
        <v>25</v>
      </c>
      <c r="D565" t="s">
        <v>27</v>
      </c>
      <c r="E565" t="s">
        <v>24</v>
      </c>
      <c r="F565">
        <v>1</v>
      </c>
      <c r="G565">
        <v>11696.62</v>
      </c>
      <c r="H565" t="s">
        <v>28</v>
      </c>
      <c r="I565">
        <f>Table1[[#This Row],[Qty]]*Table1[[#This Row],[Unit_Price]]</f>
        <v>11696.62</v>
      </c>
    </row>
    <row r="566" spans="1:9" x14ac:dyDescent="0.25">
      <c r="A566">
        <v>10565</v>
      </c>
      <c r="B566" s="1">
        <v>45958</v>
      </c>
      <c r="C566" t="s">
        <v>19</v>
      </c>
      <c r="D566" t="s">
        <v>10</v>
      </c>
      <c r="E566" t="s">
        <v>11</v>
      </c>
      <c r="F566">
        <v>3</v>
      </c>
      <c r="G566">
        <v>480.18</v>
      </c>
      <c r="H566" t="s">
        <v>12</v>
      </c>
      <c r="I566">
        <f>Table1[[#This Row],[Qty]]*Table1[[#This Row],[Unit_Price]]</f>
        <v>1440.54</v>
      </c>
    </row>
    <row r="567" spans="1:9" x14ac:dyDescent="0.25">
      <c r="A567">
        <v>10566</v>
      </c>
      <c r="B567" s="1">
        <v>45881</v>
      </c>
      <c r="C567" t="s">
        <v>22</v>
      </c>
      <c r="D567" t="s">
        <v>32</v>
      </c>
      <c r="E567" t="s">
        <v>11</v>
      </c>
      <c r="F567">
        <v>3</v>
      </c>
      <c r="G567">
        <v>2337.1</v>
      </c>
      <c r="H567" t="s">
        <v>18</v>
      </c>
      <c r="I567">
        <f>Table1[[#This Row],[Qty]]*Table1[[#This Row],[Unit_Price]]</f>
        <v>7011.2999999999993</v>
      </c>
    </row>
    <row r="568" spans="1:9" x14ac:dyDescent="0.25">
      <c r="A568">
        <v>10567</v>
      </c>
      <c r="B568" s="1">
        <v>45772</v>
      </c>
      <c r="C568" t="s">
        <v>34</v>
      </c>
      <c r="D568" t="s">
        <v>20</v>
      </c>
      <c r="E568" t="s">
        <v>11</v>
      </c>
      <c r="F568">
        <v>4</v>
      </c>
      <c r="G568">
        <v>1442.05</v>
      </c>
      <c r="H568" t="s">
        <v>18</v>
      </c>
      <c r="I568">
        <f>Table1[[#This Row],[Qty]]*Table1[[#This Row],[Unit_Price]]</f>
        <v>5768.2</v>
      </c>
    </row>
    <row r="569" spans="1:9" x14ac:dyDescent="0.25">
      <c r="A569">
        <v>10568</v>
      </c>
      <c r="B569" s="1">
        <v>45723</v>
      </c>
      <c r="C569" t="s">
        <v>15</v>
      </c>
      <c r="D569" t="s">
        <v>20</v>
      </c>
      <c r="E569" t="s">
        <v>11</v>
      </c>
      <c r="F569">
        <v>1</v>
      </c>
      <c r="G569">
        <v>1634.64</v>
      </c>
      <c r="H569" t="s">
        <v>28</v>
      </c>
      <c r="I569">
        <f>Table1[[#This Row],[Qty]]*Table1[[#This Row],[Unit_Price]]</f>
        <v>1634.64</v>
      </c>
    </row>
    <row r="570" spans="1:9" x14ac:dyDescent="0.25">
      <c r="A570">
        <v>10569</v>
      </c>
      <c r="B570" s="1">
        <v>45948</v>
      </c>
      <c r="C570" t="s">
        <v>15</v>
      </c>
      <c r="D570" t="s">
        <v>30</v>
      </c>
      <c r="E570" t="s">
        <v>11</v>
      </c>
      <c r="F570">
        <v>2</v>
      </c>
      <c r="G570">
        <v>51023.89</v>
      </c>
      <c r="H570" t="s">
        <v>12</v>
      </c>
      <c r="I570">
        <f>Table1[[#This Row],[Qty]]*Table1[[#This Row],[Unit_Price]]</f>
        <v>102047.78</v>
      </c>
    </row>
    <row r="571" spans="1:9" x14ac:dyDescent="0.25">
      <c r="A571">
        <v>10570</v>
      </c>
      <c r="B571" s="1">
        <v>45985</v>
      </c>
      <c r="C571" t="s">
        <v>34</v>
      </c>
      <c r="D571" t="s">
        <v>10</v>
      </c>
      <c r="E571" t="s">
        <v>11</v>
      </c>
      <c r="F571">
        <v>4</v>
      </c>
      <c r="G571">
        <v>464.06</v>
      </c>
      <c r="H571" t="s">
        <v>14</v>
      </c>
      <c r="I571">
        <f>Table1[[#This Row],[Qty]]*Table1[[#This Row],[Unit_Price]]</f>
        <v>1856.24</v>
      </c>
    </row>
    <row r="572" spans="1:9" x14ac:dyDescent="0.25">
      <c r="A572">
        <v>10571</v>
      </c>
      <c r="B572" s="1">
        <v>45779</v>
      </c>
      <c r="C572" t="s">
        <v>29</v>
      </c>
      <c r="D572" t="s">
        <v>27</v>
      </c>
      <c r="E572" t="s">
        <v>24</v>
      </c>
      <c r="F572">
        <v>3</v>
      </c>
      <c r="G572">
        <v>11202.93</v>
      </c>
      <c r="H572" t="s">
        <v>18</v>
      </c>
      <c r="I572">
        <f>Table1[[#This Row],[Qty]]*Table1[[#This Row],[Unit_Price]]</f>
        <v>33608.79</v>
      </c>
    </row>
    <row r="573" spans="1:9" x14ac:dyDescent="0.25">
      <c r="A573">
        <v>10572</v>
      </c>
      <c r="B573" s="1">
        <v>45886</v>
      </c>
      <c r="C573" t="s">
        <v>34</v>
      </c>
      <c r="D573" t="s">
        <v>30</v>
      </c>
      <c r="E573" t="s">
        <v>11</v>
      </c>
      <c r="F573">
        <v>3</v>
      </c>
      <c r="G573">
        <v>47096.84</v>
      </c>
      <c r="H573" t="s">
        <v>14</v>
      </c>
      <c r="I573">
        <f>Table1[[#This Row],[Qty]]*Table1[[#This Row],[Unit_Price]]</f>
        <v>141290.51999999999</v>
      </c>
    </row>
    <row r="574" spans="1:9" x14ac:dyDescent="0.25">
      <c r="A574">
        <v>10573</v>
      </c>
      <c r="B574" s="1">
        <v>45837</v>
      </c>
      <c r="C574" t="s">
        <v>33</v>
      </c>
      <c r="D574" t="s">
        <v>23</v>
      </c>
      <c r="E574" t="s">
        <v>24</v>
      </c>
      <c r="F574">
        <v>1</v>
      </c>
      <c r="G574">
        <v>7308.58</v>
      </c>
      <c r="H574" t="s">
        <v>28</v>
      </c>
      <c r="I574">
        <f>Table1[[#This Row],[Qty]]*Table1[[#This Row],[Unit_Price]]</f>
        <v>7308.58</v>
      </c>
    </row>
    <row r="575" spans="1:9" x14ac:dyDescent="0.25">
      <c r="A575">
        <v>10574</v>
      </c>
      <c r="B575" s="1">
        <v>45882</v>
      </c>
      <c r="C575" t="s">
        <v>16</v>
      </c>
      <c r="D575" t="s">
        <v>31</v>
      </c>
      <c r="E575" t="s">
        <v>11</v>
      </c>
      <c r="F575">
        <v>2</v>
      </c>
      <c r="G575">
        <v>9692.19</v>
      </c>
      <c r="H575" t="s">
        <v>28</v>
      </c>
      <c r="I575">
        <f>Table1[[#This Row],[Qty]]*Table1[[#This Row],[Unit_Price]]</f>
        <v>19384.38</v>
      </c>
    </row>
    <row r="576" spans="1:9" x14ac:dyDescent="0.25">
      <c r="A576">
        <v>10575</v>
      </c>
      <c r="B576" s="1">
        <v>45837</v>
      </c>
      <c r="C576" t="s">
        <v>15</v>
      </c>
      <c r="D576" t="s">
        <v>31</v>
      </c>
      <c r="E576" t="s">
        <v>11</v>
      </c>
      <c r="F576">
        <v>1</v>
      </c>
      <c r="G576">
        <v>9591.85</v>
      </c>
      <c r="H576" t="s">
        <v>12</v>
      </c>
      <c r="I576">
        <f>Table1[[#This Row],[Qty]]*Table1[[#This Row],[Unit_Price]]</f>
        <v>9591.85</v>
      </c>
    </row>
    <row r="577" spans="1:9" x14ac:dyDescent="0.25">
      <c r="A577">
        <v>10576</v>
      </c>
      <c r="B577" s="1">
        <v>45741</v>
      </c>
      <c r="C577" t="s">
        <v>33</v>
      </c>
      <c r="D577" t="s">
        <v>32</v>
      </c>
      <c r="E577" t="s">
        <v>11</v>
      </c>
      <c r="F577">
        <v>1</v>
      </c>
      <c r="G577">
        <v>2649.6</v>
      </c>
      <c r="H577" t="s">
        <v>18</v>
      </c>
      <c r="I577">
        <f>Table1[[#This Row],[Qty]]*Table1[[#This Row],[Unit_Price]]</f>
        <v>2649.6</v>
      </c>
    </row>
    <row r="578" spans="1:9" x14ac:dyDescent="0.25">
      <c r="A578">
        <v>10577</v>
      </c>
      <c r="B578" s="1">
        <v>45668</v>
      </c>
      <c r="C578" t="s">
        <v>29</v>
      </c>
      <c r="D578" t="s">
        <v>27</v>
      </c>
      <c r="E578" t="s">
        <v>24</v>
      </c>
      <c r="F578">
        <v>3</v>
      </c>
      <c r="G578">
        <v>13083.99</v>
      </c>
      <c r="H578" t="s">
        <v>18</v>
      </c>
      <c r="I578">
        <f>Table1[[#This Row],[Qty]]*Table1[[#This Row],[Unit_Price]]</f>
        <v>39251.97</v>
      </c>
    </row>
    <row r="579" spans="1:9" x14ac:dyDescent="0.25">
      <c r="A579">
        <v>10578</v>
      </c>
      <c r="B579" s="1">
        <v>45745</v>
      </c>
      <c r="C579" t="s">
        <v>22</v>
      </c>
      <c r="D579" t="s">
        <v>31</v>
      </c>
      <c r="E579" t="s">
        <v>11</v>
      </c>
      <c r="F579">
        <v>2</v>
      </c>
      <c r="G579">
        <v>9417.57</v>
      </c>
      <c r="H579" t="s">
        <v>14</v>
      </c>
      <c r="I579">
        <f>Table1[[#This Row],[Qty]]*Table1[[#This Row],[Unit_Price]]</f>
        <v>18835.14</v>
      </c>
    </row>
    <row r="580" spans="1:9" x14ac:dyDescent="0.25">
      <c r="A580">
        <v>10579</v>
      </c>
      <c r="B580" s="1">
        <v>45831</v>
      </c>
      <c r="C580" t="s">
        <v>25</v>
      </c>
      <c r="D580" t="s">
        <v>32</v>
      </c>
      <c r="E580" t="s">
        <v>11</v>
      </c>
      <c r="F580">
        <v>1</v>
      </c>
      <c r="G580">
        <v>2465.66</v>
      </c>
      <c r="H580" t="s">
        <v>12</v>
      </c>
      <c r="I580">
        <f>Table1[[#This Row],[Qty]]*Table1[[#This Row],[Unit_Price]]</f>
        <v>2465.66</v>
      </c>
    </row>
    <row r="581" spans="1:9" x14ac:dyDescent="0.25">
      <c r="A581">
        <v>10580</v>
      </c>
      <c r="B581" s="1">
        <v>45968</v>
      </c>
      <c r="C581" t="s">
        <v>21</v>
      </c>
      <c r="D581" t="s">
        <v>31</v>
      </c>
      <c r="E581" t="s">
        <v>11</v>
      </c>
      <c r="F581">
        <v>2</v>
      </c>
      <c r="G581">
        <v>8196.4</v>
      </c>
      <c r="H581" t="s">
        <v>12</v>
      </c>
      <c r="I581">
        <f>Table1[[#This Row],[Qty]]*Table1[[#This Row],[Unit_Price]]</f>
        <v>16392.8</v>
      </c>
    </row>
    <row r="582" spans="1:9" x14ac:dyDescent="0.25">
      <c r="A582">
        <v>10581</v>
      </c>
      <c r="B582" s="1">
        <v>45755</v>
      </c>
      <c r="C582" t="s">
        <v>34</v>
      </c>
      <c r="D582" t="s">
        <v>31</v>
      </c>
      <c r="E582" t="s">
        <v>11</v>
      </c>
      <c r="F582">
        <v>5</v>
      </c>
      <c r="G582">
        <v>9399.67</v>
      </c>
      <c r="H582" t="s">
        <v>18</v>
      </c>
      <c r="I582">
        <f>Table1[[#This Row],[Qty]]*Table1[[#This Row],[Unit_Price]]</f>
        <v>46998.35</v>
      </c>
    </row>
    <row r="583" spans="1:9" x14ac:dyDescent="0.25">
      <c r="A583">
        <v>10582</v>
      </c>
      <c r="B583" s="1">
        <v>45996</v>
      </c>
      <c r="C583" t="s">
        <v>33</v>
      </c>
      <c r="D583" t="s">
        <v>23</v>
      </c>
      <c r="E583" t="s">
        <v>24</v>
      </c>
      <c r="F583">
        <v>3</v>
      </c>
      <c r="G583">
        <v>6632.57</v>
      </c>
      <c r="H583" t="s">
        <v>28</v>
      </c>
      <c r="I583">
        <f>Table1[[#This Row],[Qty]]*Table1[[#This Row],[Unit_Price]]</f>
        <v>19897.71</v>
      </c>
    </row>
    <row r="584" spans="1:9" x14ac:dyDescent="0.25">
      <c r="A584">
        <v>10583</v>
      </c>
      <c r="B584" s="1">
        <v>45950</v>
      </c>
      <c r="C584" t="s">
        <v>33</v>
      </c>
      <c r="D584" t="s">
        <v>32</v>
      </c>
      <c r="E584" t="s">
        <v>11</v>
      </c>
      <c r="F584">
        <v>2</v>
      </c>
      <c r="G584">
        <v>2277.25</v>
      </c>
      <c r="H584" t="s">
        <v>28</v>
      </c>
      <c r="I584">
        <f>Table1[[#This Row],[Qty]]*Table1[[#This Row],[Unit_Price]]</f>
        <v>4554.5</v>
      </c>
    </row>
    <row r="585" spans="1:9" x14ac:dyDescent="0.25">
      <c r="A585">
        <v>10584</v>
      </c>
      <c r="B585" s="1">
        <v>45702</v>
      </c>
      <c r="C585" t="s">
        <v>29</v>
      </c>
      <c r="D585" t="s">
        <v>23</v>
      </c>
      <c r="E585" t="s">
        <v>24</v>
      </c>
      <c r="F585">
        <v>5</v>
      </c>
      <c r="G585">
        <v>6972.46</v>
      </c>
      <c r="H585" t="s">
        <v>14</v>
      </c>
      <c r="I585">
        <f>Table1[[#This Row],[Qty]]*Table1[[#This Row],[Unit_Price]]</f>
        <v>34862.300000000003</v>
      </c>
    </row>
    <row r="586" spans="1:9" x14ac:dyDescent="0.25">
      <c r="A586">
        <v>10585</v>
      </c>
      <c r="B586" s="1">
        <v>45763</v>
      </c>
      <c r="C586" t="s">
        <v>16</v>
      </c>
      <c r="D586" t="s">
        <v>20</v>
      </c>
      <c r="E586" t="s">
        <v>11</v>
      </c>
      <c r="F586">
        <v>3</v>
      </c>
      <c r="G586">
        <v>1643.12</v>
      </c>
      <c r="H586" t="s">
        <v>14</v>
      </c>
      <c r="I586">
        <f>Table1[[#This Row],[Qty]]*Table1[[#This Row],[Unit_Price]]</f>
        <v>4929.3599999999997</v>
      </c>
    </row>
    <row r="587" spans="1:9" x14ac:dyDescent="0.25">
      <c r="A587">
        <v>10586</v>
      </c>
      <c r="B587" s="1">
        <v>45815</v>
      </c>
      <c r="C587" t="s">
        <v>25</v>
      </c>
      <c r="D587" t="s">
        <v>31</v>
      </c>
      <c r="E587" t="s">
        <v>11</v>
      </c>
      <c r="F587">
        <v>4</v>
      </c>
      <c r="G587">
        <v>8980.3700000000008</v>
      </c>
      <c r="H587" t="s">
        <v>18</v>
      </c>
      <c r="I587">
        <f>Table1[[#This Row],[Qty]]*Table1[[#This Row],[Unit_Price]]</f>
        <v>35921.480000000003</v>
      </c>
    </row>
    <row r="588" spans="1:9" x14ac:dyDescent="0.25">
      <c r="A588">
        <v>10587</v>
      </c>
      <c r="B588" s="1">
        <v>45704</v>
      </c>
      <c r="C588" t="s">
        <v>13</v>
      </c>
      <c r="D588" t="s">
        <v>31</v>
      </c>
      <c r="E588" t="s">
        <v>11</v>
      </c>
      <c r="F588">
        <v>2</v>
      </c>
      <c r="G588">
        <v>8767.84</v>
      </c>
      <c r="H588" t="s">
        <v>18</v>
      </c>
      <c r="I588">
        <f>Table1[[#This Row],[Qty]]*Table1[[#This Row],[Unit_Price]]</f>
        <v>17535.68</v>
      </c>
    </row>
    <row r="589" spans="1:9" x14ac:dyDescent="0.25">
      <c r="A589">
        <v>10588</v>
      </c>
      <c r="B589" s="1">
        <v>45753</v>
      </c>
      <c r="C589" t="s">
        <v>16</v>
      </c>
      <c r="D589" t="s">
        <v>32</v>
      </c>
      <c r="E589" t="s">
        <v>11</v>
      </c>
      <c r="F589">
        <v>1</v>
      </c>
      <c r="G589">
        <v>2381.65</v>
      </c>
      <c r="H589" t="s">
        <v>18</v>
      </c>
      <c r="I589">
        <f>Table1[[#This Row],[Qty]]*Table1[[#This Row],[Unit_Price]]</f>
        <v>2381.65</v>
      </c>
    </row>
    <row r="590" spans="1:9" x14ac:dyDescent="0.25">
      <c r="A590">
        <v>10589</v>
      </c>
      <c r="B590" s="1">
        <v>45773</v>
      </c>
      <c r="C590" t="s">
        <v>34</v>
      </c>
      <c r="D590" t="s">
        <v>23</v>
      </c>
      <c r="E590" t="s">
        <v>24</v>
      </c>
      <c r="F590">
        <v>5</v>
      </c>
      <c r="G590">
        <v>6386.3</v>
      </c>
      <c r="H590" t="s">
        <v>14</v>
      </c>
      <c r="I590">
        <f>Table1[[#This Row],[Qty]]*Table1[[#This Row],[Unit_Price]]</f>
        <v>31931.5</v>
      </c>
    </row>
    <row r="591" spans="1:9" x14ac:dyDescent="0.25">
      <c r="A591">
        <v>10590</v>
      </c>
      <c r="B591" s="1">
        <v>45701</v>
      </c>
      <c r="C591" t="s">
        <v>15</v>
      </c>
      <c r="D591" t="s">
        <v>27</v>
      </c>
      <c r="E591" t="s">
        <v>24</v>
      </c>
      <c r="F591">
        <v>5</v>
      </c>
      <c r="G591">
        <v>11793.57</v>
      </c>
      <c r="H591" t="s">
        <v>12</v>
      </c>
      <c r="I591">
        <f>Table1[[#This Row],[Qty]]*Table1[[#This Row],[Unit_Price]]</f>
        <v>58967.85</v>
      </c>
    </row>
    <row r="592" spans="1:9" x14ac:dyDescent="0.25">
      <c r="A592">
        <v>10591</v>
      </c>
      <c r="B592" s="1">
        <v>45941</v>
      </c>
      <c r="C592" t="s">
        <v>13</v>
      </c>
      <c r="D592" t="s">
        <v>30</v>
      </c>
      <c r="E592" t="s">
        <v>11</v>
      </c>
      <c r="F592">
        <v>4</v>
      </c>
      <c r="G592">
        <v>53184.05</v>
      </c>
      <c r="H592" t="s">
        <v>28</v>
      </c>
      <c r="I592">
        <f>Table1[[#This Row],[Qty]]*Table1[[#This Row],[Unit_Price]]</f>
        <v>212736.2</v>
      </c>
    </row>
    <row r="593" spans="1:9" x14ac:dyDescent="0.25">
      <c r="A593">
        <v>10592</v>
      </c>
      <c r="B593" s="1">
        <v>45951</v>
      </c>
      <c r="C593" t="s">
        <v>13</v>
      </c>
      <c r="D593" t="s">
        <v>17</v>
      </c>
      <c r="E593" t="s">
        <v>11</v>
      </c>
      <c r="F593">
        <v>4</v>
      </c>
      <c r="G593">
        <v>11517.25</v>
      </c>
      <c r="H593" t="s">
        <v>14</v>
      </c>
      <c r="I593">
        <f>Table1[[#This Row],[Qty]]*Table1[[#This Row],[Unit_Price]]</f>
        <v>46069</v>
      </c>
    </row>
    <row r="594" spans="1:9" x14ac:dyDescent="0.25">
      <c r="A594">
        <v>10593</v>
      </c>
      <c r="B594" s="1">
        <v>45915</v>
      </c>
      <c r="C594" t="s">
        <v>16</v>
      </c>
      <c r="D594" t="s">
        <v>20</v>
      </c>
      <c r="E594" t="s">
        <v>11</v>
      </c>
      <c r="F594">
        <v>1</v>
      </c>
      <c r="G594">
        <v>1634.78</v>
      </c>
      <c r="H594" t="s">
        <v>12</v>
      </c>
      <c r="I594">
        <f>Table1[[#This Row],[Qty]]*Table1[[#This Row],[Unit_Price]]</f>
        <v>1634.78</v>
      </c>
    </row>
    <row r="595" spans="1:9" x14ac:dyDescent="0.25">
      <c r="A595">
        <v>10594</v>
      </c>
      <c r="B595" s="1">
        <v>45743</v>
      </c>
      <c r="C595" t="s">
        <v>13</v>
      </c>
      <c r="D595" t="s">
        <v>17</v>
      </c>
      <c r="E595" t="s">
        <v>11</v>
      </c>
      <c r="F595">
        <v>2</v>
      </c>
      <c r="G595">
        <v>11102.85</v>
      </c>
      <c r="H595" t="s">
        <v>14</v>
      </c>
      <c r="I595">
        <f>Table1[[#This Row],[Qty]]*Table1[[#This Row],[Unit_Price]]</f>
        <v>22205.7</v>
      </c>
    </row>
    <row r="596" spans="1:9" x14ac:dyDescent="0.25">
      <c r="A596">
        <v>10595</v>
      </c>
      <c r="B596" s="1">
        <v>46007</v>
      </c>
      <c r="C596" t="s">
        <v>25</v>
      </c>
      <c r="D596" t="s">
        <v>31</v>
      </c>
      <c r="E596" t="s">
        <v>11</v>
      </c>
      <c r="F596">
        <v>2</v>
      </c>
      <c r="G596">
        <v>9895.08</v>
      </c>
      <c r="H596" t="s">
        <v>12</v>
      </c>
      <c r="I596">
        <f>Table1[[#This Row],[Qty]]*Table1[[#This Row],[Unit_Price]]</f>
        <v>19790.16</v>
      </c>
    </row>
    <row r="597" spans="1:9" x14ac:dyDescent="0.25">
      <c r="A597">
        <v>10596</v>
      </c>
      <c r="B597" s="1">
        <v>45962</v>
      </c>
      <c r="C597" t="s">
        <v>29</v>
      </c>
      <c r="D597" t="s">
        <v>23</v>
      </c>
      <c r="E597" t="s">
        <v>24</v>
      </c>
      <c r="F597">
        <v>3</v>
      </c>
      <c r="G597">
        <v>7575.13</v>
      </c>
      <c r="H597" t="s">
        <v>14</v>
      </c>
      <c r="I597">
        <f>Table1[[#This Row],[Qty]]*Table1[[#This Row],[Unit_Price]]</f>
        <v>22725.39</v>
      </c>
    </row>
    <row r="598" spans="1:9" x14ac:dyDescent="0.25">
      <c r="A598">
        <v>10597</v>
      </c>
      <c r="B598" s="1">
        <v>45856</v>
      </c>
      <c r="C598" t="s">
        <v>26</v>
      </c>
      <c r="D598" t="s">
        <v>31</v>
      </c>
      <c r="E598" t="s">
        <v>11</v>
      </c>
      <c r="F598">
        <v>5</v>
      </c>
      <c r="G598">
        <v>8687.0300000000007</v>
      </c>
      <c r="H598" t="s">
        <v>28</v>
      </c>
      <c r="I598">
        <f>Table1[[#This Row],[Qty]]*Table1[[#This Row],[Unit_Price]]</f>
        <v>43435.15</v>
      </c>
    </row>
    <row r="599" spans="1:9" x14ac:dyDescent="0.25">
      <c r="A599">
        <v>10598</v>
      </c>
      <c r="B599" s="1">
        <v>45664</v>
      </c>
      <c r="C599" t="s">
        <v>19</v>
      </c>
      <c r="D599" t="s">
        <v>31</v>
      </c>
      <c r="E599" t="s">
        <v>11</v>
      </c>
      <c r="F599">
        <v>1</v>
      </c>
      <c r="G599">
        <v>8846</v>
      </c>
      <c r="H599" t="s">
        <v>14</v>
      </c>
      <c r="I599">
        <f>Table1[[#This Row],[Qty]]*Table1[[#This Row],[Unit_Price]]</f>
        <v>8846</v>
      </c>
    </row>
    <row r="600" spans="1:9" x14ac:dyDescent="0.25">
      <c r="A600">
        <v>10599</v>
      </c>
      <c r="B600" s="1">
        <v>45712</v>
      </c>
      <c r="C600" t="s">
        <v>21</v>
      </c>
      <c r="D600" t="s">
        <v>10</v>
      </c>
      <c r="E600" t="s">
        <v>11</v>
      </c>
      <c r="F600">
        <v>3</v>
      </c>
      <c r="G600">
        <v>536.75</v>
      </c>
      <c r="H600" t="s">
        <v>28</v>
      </c>
      <c r="I600">
        <f>Table1[[#This Row],[Qty]]*Table1[[#This Row],[Unit_Price]]</f>
        <v>1610.25</v>
      </c>
    </row>
    <row r="601" spans="1:9" x14ac:dyDescent="0.25">
      <c r="A601">
        <v>10600</v>
      </c>
      <c r="B601" s="1">
        <v>45793</v>
      </c>
      <c r="C601" t="s">
        <v>16</v>
      </c>
      <c r="D601" t="s">
        <v>31</v>
      </c>
      <c r="E601" t="s">
        <v>11</v>
      </c>
      <c r="F601">
        <v>4</v>
      </c>
      <c r="G601">
        <v>9129.64</v>
      </c>
      <c r="H601" t="s">
        <v>14</v>
      </c>
      <c r="I601">
        <f>Table1[[#This Row],[Qty]]*Table1[[#This Row],[Unit_Price]]</f>
        <v>36518.559999999998</v>
      </c>
    </row>
    <row r="602" spans="1:9" x14ac:dyDescent="0.25">
      <c r="A602">
        <v>10601</v>
      </c>
      <c r="B602" s="1">
        <v>45746</v>
      </c>
      <c r="C602" t="s">
        <v>15</v>
      </c>
      <c r="D602" t="s">
        <v>23</v>
      </c>
      <c r="E602" t="s">
        <v>24</v>
      </c>
      <c r="F602">
        <v>4</v>
      </c>
      <c r="G602">
        <v>6501.39</v>
      </c>
      <c r="H602" t="s">
        <v>28</v>
      </c>
      <c r="I602">
        <f>Table1[[#This Row],[Qty]]*Table1[[#This Row],[Unit_Price]]</f>
        <v>26005.56</v>
      </c>
    </row>
    <row r="603" spans="1:9" x14ac:dyDescent="0.25">
      <c r="A603">
        <v>10602</v>
      </c>
      <c r="B603" s="1">
        <v>45677</v>
      </c>
      <c r="C603" t="s">
        <v>33</v>
      </c>
      <c r="D603" t="s">
        <v>31</v>
      </c>
      <c r="E603" t="s">
        <v>11</v>
      </c>
      <c r="F603">
        <v>3</v>
      </c>
      <c r="G603">
        <v>9342.92</v>
      </c>
      <c r="H603" t="s">
        <v>28</v>
      </c>
      <c r="I603">
        <f>Table1[[#This Row],[Qty]]*Table1[[#This Row],[Unit_Price]]</f>
        <v>28028.760000000002</v>
      </c>
    </row>
    <row r="604" spans="1:9" x14ac:dyDescent="0.25">
      <c r="A604">
        <v>10603</v>
      </c>
      <c r="B604" s="1">
        <v>45795</v>
      </c>
      <c r="C604" t="s">
        <v>26</v>
      </c>
      <c r="D604" t="s">
        <v>27</v>
      </c>
      <c r="E604" t="s">
        <v>24</v>
      </c>
      <c r="F604">
        <v>1</v>
      </c>
      <c r="G604">
        <v>11610.88</v>
      </c>
      <c r="H604" t="s">
        <v>18</v>
      </c>
      <c r="I604">
        <f>Table1[[#This Row],[Qty]]*Table1[[#This Row],[Unit_Price]]</f>
        <v>11610.88</v>
      </c>
    </row>
    <row r="605" spans="1:9" x14ac:dyDescent="0.25">
      <c r="A605">
        <v>10604</v>
      </c>
      <c r="B605" s="1">
        <v>45801</v>
      </c>
      <c r="C605" t="s">
        <v>9</v>
      </c>
      <c r="D605" t="s">
        <v>32</v>
      </c>
      <c r="E605" t="s">
        <v>11</v>
      </c>
      <c r="F605">
        <v>1</v>
      </c>
      <c r="G605">
        <v>2736.25</v>
      </c>
      <c r="H605" t="s">
        <v>12</v>
      </c>
      <c r="I605">
        <f>Table1[[#This Row],[Qty]]*Table1[[#This Row],[Unit_Price]]</f>
        <v>2736.25</v>
      </c>
    </row>
    <row r="606" spans="1:9" x14ac:dyDescent="0.25">
      <c r="A606">
        <v>10605</v>
      </c>
      <c r="B606" s="1">
        <v>45811</v>
      </c>
      <c r="C606" t="s">
        <v>13</v>
      </c>
      <c r="D606" t="s">
        <v>32</v>
      </c>
      <c r="E606" t="s">
        <v>11</v>
      </c>
      <c r="F606">
        <v>3</v>
      </c>
      <c r="G606">
        <v>2384.71</v>
      </c>
      <c r="H606" t="s">
        <v>14</v>
      </c>
      <c r="I606">
        <f>Table1[[#This Row],[Qty]]*Table1[[#This Row],[Unit_Price]]</f>
        <v>7154.13</v>
      </c>
    </row>
    <row r="607" spans="1:9" x14ac:dyDescent="0.25">
      <c r="A607">
        <v>10606</v>
      </c>
      <c r="B607" s="1">
        <v>45754</v>
      </c>
      <c r="C607" t="s">
        <v>13</v>
      </c>
      <c r="D607" t="s">
        <v>32</v>
      </c>
      <c r="E607" t="s">
        <v>11</v>
      </c>
      <c r="F607">
        <v>2</v>
      </c>
      <c r="G607">
        <v>2706.72</v>
      </c>
      <c r="H607" t="s">
        <v>28</v>
      </c>
      <c r="I607">
        <f>Table1[[#This Row],[Qty]]*Table1[[#This Row],[Unit_Price]]</f>
        <v>5413.44</v>
      </c>
    </row>
    <row r="608" spans="1:9" x14ac:dyDescent="0.25">
      <c r="A608">
        <v>10607</v>
      </c>
      <c r="B608" s="1">
        <v>45922</v>
      </c>
      <c r="C608" t="s">
        <v>19</v>
      </c>
      <c r="D608" t="s">
        <v>27</v>
      </c>
      <c r="E608" t="s">
        <v>24</v>
      </c>
      <c r="F608">
        <v>1</v>
      </c>
      <c r="G608">
        <v>12036.65</v>
      </c>
      <c r="H608" t="s">
        <v>14</v>
      </c>
      <c r="I608">
        <f>Table1[[#This Row],[Qty]]*Table1[[#This Row],[Unit_Price]]</f>
        <v>12036.65</v>
      </c>
    </row>
    <row r="609" spans="1:9" x14ac:dyDescent="0.25">
      <c r="A609">
        <v>10608</v>
      </c>
      <c r="B609" s="1">
        <v>45817</v>
      </c>
      <c r="C609" t="s">
        <v>22</v>
      </c>
      <c r="D609" t="s">
        <v>31</v>
      </c>
      <c r="E609" t="s">
        <v>11</v>
      </c>
      <c r="F609">
        <v>2</v>
      </c>
      <c r="G609">
        <v>9504.93</v>
      </c>
      <c r="H609" t="s">
        <v>14</v>
      </c>
      <c r="I609">
        <f>Table1[[#This Row],[Qty]]*Table1[[#This Row],[Unit_Price]]</f>
        <v>19009.86</v>
      </c>
    </row>
    <row r="610" spans="1:9" x14ac:dyDescent="0.25">
      <c r="A610">
        <v>10609</v>
      </c>
      <c r="B610" s="1">
        <v>45746</v>
      </c>
      <c r="C610" t="s">
        <v>9</v>
      </c>
      <c r="D610" t="s">
        <v>17</v>
      </c>
      <c r="E610" t="s">
        <v>11</v>
      </c>
      <c r="F610">
        <v>2</v>
      </c>
      <c r="G610">
        <v>12808.74</v>
      </c>
      <c r="H610" t="s">
        <v>14</v>
      </c>
      <c r="I610">
        <f>Table1[[#This Row],[Qty]]*Table1[[#This Row],[Unit_Price]]</f>
        <v>25617.48</v>
      </c>
    </row>
    <row r="611" spans="1:9" x14ac:dyDescent="0.25">
      <c r="A611">
        <v>10610</v>
      </c>
      <c r="B611" s="1">
        <v>45891</v>
      </c>
      <c r="C611" t="s">
        <v>26</v>
      </c>
      <c r="D611" t="s">
        <v>30</v>
      </c>
      <c r="E611" t="s">
        <v>11</v>
      </c>
      <c r="F611">
        <v>3</v>
      </c>
      <c r="G611">
        <v>52046.34</v>
      </c>
      <c r="H611" t="s">
        <v>18</v>
      </c>
      <c r="I611">
        <f>Table1[[#This Row],[Qty]]*Table1[[#This Row],[Unit_Price]]</f>
        <v>156139.01999999999</v>
      </c>
    </row>
    <row r="612" spans="1:9" x14ac:dyDescent="0.25">
      <c r="A612">
        <v>10611</v>
      </c>
      <c r="B612" s="1">
        <v>45895</v>
      </c>
      <c r="C612" t="s">
        <v>9</v>
      </c>
      <c r="D612" t="s">
        <v>31</v>
      </c>
      <c r="E612" t="s">
        <v>11</v>
      </c>
      <c r="F612">
        <v>1</v>
      </c>
      <c r="G612">
        <v>9326.11</v>
      </c>
      <c r="H612" t="s">
        <v>18</v>
      </c>
      <c r="I612">
        <f>Table1[[#This Row],[Qty]]*Table1[[#This Row],[Unit_Price]]</f>
        <v>9326.11</v>
      </c>
    </row>
    <row r="613" spans="1:9" x14ac:dyDescent="0.25">
      <c r="A613">
        <v>10612</v>
      </c>
      <c r="B613" s="1">
        <v>45908</v>
      </c>
      <c r="C613" t="s">
        <v>16</v>
      </c>
      <c r="D613" t="s">
        <v>32</v>
      </c>
      <c r="E613" t="s">
        <v>11</v>
      </c>
      <c r="F613">
        <v>2</v>
      </c>
      <c r="G613">
        <v>2730.26</v>
      </c>
      <c r="H613" t="s">
        <v>18</v>
      </c>
      <c r="I613">
        <f>Table1[[#This Row],[Qty]]*Table1[[#This Row],[Unit_Price]]</f>
        <v>5460.52</v>
      </c>
    </row>
    <row r="614" spans="1:9" x14ac:dyDescent="0.25">
      <c r="A614">
        <v>10613</v>
      </c>
      <c r="B614" s="1">
        <v>45834</v>
      </c>
      <c r="C614" t="s">
        <v>34</v>
      </c>
      <c r="D614" t="s">
        <v>20</v>
      </c>
      <c r="E614" t="s">
        <v>11</v>
      </c>
      <c r="F614">
        <v>3</v>
      </c>
      <c r="G614">
        <v>1574.69</v>
      </c>
      <c r="H614" t="s">
        <v>14</v>
      </c>
      <c r="I614">
        <f>Table1[[#This Row],[Qty]]*Table1[[#This Row],[Unit_Price]]</f>
        <v>4724.07</v>
      </c>
    </row>
    <row r="615" spans="1:9" x14ac:dyDescent="0.25">
      <c r="A615">
        <v>10614</v>
      </c>
      <c r="B615" s="1">
        <v>45803</v>
      </c>
      <c r="C615" t="s">
        <v>15</v>
      </c>
      <c r="D615" t="s">
        <v>30</v>
      </c>
      <c r="E615" t="s">
        <v>11</v>
      </c>
      <c r="F615">
        <v>4</v>
      </c>
      <c r="G615">
        <v>45496.51</v>
      </c>
      <c r="H615" t="s">
        <v>12</v>
      </c>
      <c r="I615">
        <f>Table1[[#This Row],[Qty]]*Table1[[#This Row],[Unit_Price]]</f>
        <v>181986.04</v>
      </c>
    </row>
    <row r="616" spans="1:9" x14ac:dyDescent="0.25">
      <c r="A616">
        <v>10615</v>
      </c>
      <c r="B616" s="1">
        <v>45771</v>
      </c>
      <c r="C616" t="s">
        <v>13</v>
      </c>
      <c r="D616" t="s">
        <v>17</v>
      </c>
      <c r="E616" t="s">
        <v>11</v>
      </c>
      <c r="F616">
        <v>2</v>
      </c>
      <c r="G616">
        <v>11445.8</v>
      </c>
      <c r="H616" t="s">
        <v>14</v>
      </c>
      <c r="I616">
        <f>Table1[[#This Row],[Qty]]*Table1[[#This Row],[Unit_Price]]</f>
        <v>22891.599999999999</v>
      </c>
    </row>
    <row r="617" spans="1:9" x14ac:dyDescent="0.25">
      <c r="A617">
        <v>10616</v>
      </c>
      <c r="B617" s="1">
        <v>46007</v>
      </c>
      <c r="C617" t="s">
        <v>25</v>
      </c>
      <c r="D617" t="s">
        <v>30</v>
      </c>
      <c r="E617" t="s">
        <v>11</v>
      </c>
      <c r="F617">
        <v>4</v>
      </c>
      <c r="G617">
        <v>54115.15</v>
      </c>
      <c r="H617" t="s">
        <v>12</v>
      </c>
      <c r="I617">
        <f>Table1[[#This Row],[Qty]]*Table1[[#This Row],[Unit_Price]]</f>
        <v>216460.6</v>
      </c>
    </row>
    <row r="618" spans="1:9" x14ac:dyDescent="0.25">
      <c r="A618">
        <v>10617</v>
      </c>
      <c r="B618" s="1">
        <v>45965</v>
      </c>
      <c r="C618" t="s">
        <v>26</v>
      </c>
      <c r="D618" t="s">
        <v>30</v>
      </c>
      <c r="E618" t="s">
        <v>11</v>
      </c>
      <c r="F618">
        <v>2</v>
      </c>
      <c r="G618">
        <v>47523.9</v>
      </c>
      <c r="H618" t="s">
        <v>18</v>
      </c>
      <c r="I618">
        <f>Table1[[#This Row],[Qty]]*Table1[[#This Row],[Unit_Price]]</f>
        <v>95047.8</v>
      </c>
    </row>
    <row r="619" spans="1:9" x14ac:dyDescent="0.25">
      <c r="A619">
        <v>10618</v>
      </c>
      <c r="B619" s="1">
        <v>45874</v>
      </c>
      <c r="C619" t="s">
        <v>9</v>
      </c>
      <c r="D619" t="s">
        <v>31</v>
      </c>
      <c r="E619" t="s">
        <v>11</v>
      </c>
      <c r="F619">
        <v>3</v>
      </c>
      <c r="G619">
        <v>8926.2000000000007</v>
      </c>
      <c r="H619" t="s">
        <v>28</v>
      </c>
      <c r="I619">
        <f>Table1[[#This Row],[Qty]]*Table1[[#This Row],[Unit_Price]]</f>
        <v>26778.600000000002</v>
      </c>
    </row>
    <row r="620" spans="1:9" x14ac:dyDescent="0.25">
      <c r="A620">
        <v>10619</v>
      </c>
      <c r="B620" s="1">
        <v>45812</v>
      </c>
      <c r="C620" t="s">
        <v>22</v>
      </c>
      <c r="D620" t="s">
        <v>31</v>
      </c>
      <c r="E620" t="s">
        <v>11</v>
      </c>
      <c r="F620">
        <v>5</v>
      </c>
      <c r="G620">
        <v>8284.16</v>
      </c>
      <c r="H620" t="s">
        <v>18</v>
      </c>
      <c r="I620">
        <f>Table1[[#This Row],[Qty]]*Table1[[#This Row],[Unit_Price]]</f>
        <v>41420.800000000003</v>
      </c>
    </row>
    <row r="621" spans="1:9" x14ac:dyDescent="0.25">
      <c r="A621">
        <v>10620</v>
      </c>
      <c r="B621" s="1">
        <v>45945</v>
      </c>
      <c r="C621" t="s">
        <v>16</v>
      </c>
      <c r="D621" t="s">
        <v>23</v>
      </c>
      <c r="E621" t="s">
        <v>24</v>
      </c>
      <c r="F621">
        <v>3</v>
      </c>
      <c r="G621">
        <v>7258.18</v>
      </c>
      <c r="H621" t="s">
        <v>14</v>
      </c>
      <c r="I621">
        <f>Table1[[#This Row],[Qty]]*Table1[[#This Row],[Unit_Price]]</f>
        <v>21774.54</v>
      </c>
    </row>
    <row r="622" spans="1:9" x14ac:dyDescent="0.25">
      <c r="A622">
        <v>10621</v>
      </c>
      <c r="B622" s="1">
        <v>45830</v>
      </c>
      <c r="C622" t="s">
        <v>26</v>
      </c>
      <c r="D622" t="s">
        <v>23</v>
      </c>
      <c r="E622" t="s">
        <v>24</v>
      </c>
      <c r="F622">
        <v>3</v>
      </c>
      <c r="G622">
        <v>7506.09</v>
      </c>
      <c r="H622" t="s">
        <v>18</v>
      </c>
      <c r="I622">
        <f>Table1[[#This Row],[Qty]]*Table1[[#This Row],[Unit_Price]]</f>
        <v>22518.27</v>
      </c>
    </row>
    <row r="623" spans="1:9" x14ac:dyDescent="0.25">
      <c r="A623">
        <v>10622</v>
      </c>
      <c r="B623" s="1">
        <v>45754</v>
      </c>
      <c r="C623" t="s">
        <v>33</v>
      </c>
      <c r="D623" t="s">
        <v>20</v>
      </c>
      <c r="E623" t="s">
        <v>11</v>
      </c>
      <c r="F623">
        <v>5</v>
      </c>
      <c r="G623">
        <v>1579.64</v>
      </c>
      <c r="H623" t="s">
        <v>28</v>
      </c>
      <c r="I623">
        <f>Table1[[#This Row],[Qty]]*Table1[[#This Row],[Unit_Price]]</f>
        <v>7898.2000000000007</v>
      </c>
    </row>
    <row r="624" spans="1:9" x14ac:dyDescent="0.25">
      <c r="A624">
        <v>10623</v>
      </c>
      <c r="B624" s="1">
        <v>45996</v>
      </c>
      <c r="C624" t="s">
        <v>25</v>
      </c>
      <c r="D624" t="s">
        <v>27</v>
      </c>
      <c r="E624" t="s">
        <v>24</v>
      </c>
      <c r="F624">
        <v>2</v>
      </c>
      <c r="G624">
        <v>12531.08</v>
      </c>
      <c r="H624" t="s">
        <v>28</v>
      </c>
      <c r="I624">
        <f>Table1[[#This Row],[Qty]]*Table1[[#This Row],[Unit_Price]]</f>
        <v>25062.16</v>
      </c>
    </row>
    <row r="625" spans="1:9" x14ac:dyDescent="0.25">
      <c r="A625">
        <v>10624</v>
      </c>
      <c r="B625" s="1">
        <v>45809</v>
      </c>
      <c r="C625" t="s">
        <v>34</v>
      </c>
      <c r="D625" t="s">
        <v>23</v>
      </c>
      <c r="E625" t="s">
        <v>24</v>
      </c>
      <c r="F625">
        <v>4</v>
      </c>
      <c r="G625">
        <v>6866.44</v>
      </c>
      <c r="H625" t="s">
        <v>14</v>
      </c>
      <c r="I625">
        <f>Table1[[#This Row],[Qty]]*Table1[[#This Row],[Unit_Price]]</f>
        <v>27465.759999999998</v>
      </c>
    </row>
    <row r="626" spans="1:9" x14ac:dyDescent="0.25">
      <c r="A626">
        <v>10625</v>
      </c>
      <c r="B626" s="1">
        <v>45956</v>
      </c>
      <c r="C626" t="s">
        <v>9</v>
      </c>
      <c r="D626" t="s">
        <v>17</v>
      </c>
      <c r="E626" t="s">
        <v>11</v>
      </c>
      <c r="F626">
        <v>3</v>
      </c>
      <c r="G626">
        <v>12543.72</v>
      </c>
      <c r="H626" t="s">
        <v>28</v>
      </c>
      <c r="I626">
        <f>Table1[[#This Row],[Qty]]*Table1[[#This Row],[Unit_Price]]</f>
        <v>37631.159999999996</v>
      </c>
    </row>
    <row r="627" spans="1:9" x14ac:dyDescent="0.25">
      <c r="A627">
        <v>10626</v>
      </c>
      <c r="B627" s="1">
        <v>46001</v>
      </c>
      <c r="C627" t="s">
        <v>19</v>
      </c>
      <c r="D627" t="s">
        <v>27</v>
      </c>
      <c r="E627" t="s">
        <v>24</v>
      </c>
      <c r="F627">
        <v>5</v>
      </c>
      <c r="G627">
        <v>11520.47</v>
      </c>
      <c r="H627" t="s">
        <v>12</v>
      </c>
      <c r="I627">
        <f>Table1[[#This Row],[Qty]]*Table1[[#This Row],[Unit_Price]]</f>
        <v>57602.35</v>
      </c>
    </row>
    <row r="628" spans="1:9" x14ac:dyDescent="0.25">
      <c r="A628">
        <v>10627</v>
      </c>
      <c r="B628" s="1">
        <v>45808</v>
      </c>
      <c r="C628" t="s">
        <v>26</v>
      </c>
      <c r="D628" t="s">
        <v>10</v>
      </c>
      <c r="E628" t="s">
        <v>11</v>
      </c>
      <c r="F628">
        <v>4</v>
      </c>
      <c r="G628">
        <v>462.79</v>
      </c>
      <c r="H628" t="s">
        <v>12</v>
      </c>
      <c r="I628">
        <f>Table1[[#This Row],[Qty]]*Table1[[#This Row],[Unit_Price]]</f>
        <v>1851.16</v>
      </c>
    </row>
    <row r="629" spans="1:9" x14ac:dyDescent="0.25">
      <c r="A629">
        <v>10628</v>
      </c>
      <c r="B629" s="1">
        <v>46006</v>
      </c>
      <c r="C629" t="s">
        <v>9</v>
      </c>
      <c r="D629" t="s">
        <v>27</v>
      </c>
      <c r="E629" t="s">
        <v>24</v>
      </c>
      <c r="F629">
        <v>1</v>
      </c>
      <c r="G629">
        <v>11333.41</v>
      </c>
      <c r="H629" t="s">
        <v>18</v>
      </c>
      <c r="I629">
        <f>Table1[[#This Row],[Qty]]*Table1[[#This Row],[Unit_Price]]</f>
        <v>11333.41</v>
      </c>
    </row>
    <row r="630" spans="1:9" x14ac:dyDescent="0.25">
      <c r="A630">
        <v>10629</v>
      </c>
      <c r="B630" s="1">
        <v>45873</v>
      </c>
      <c r="C630" t="s">
        <v>26</v>
      </c>
      <c r="D630" t="s">
        <v>27</v>
      </c>
      <c r="E630" t="s">
        <v>24</v>
      </c>
      <c r="F630">
        <v>3</v>
      </c>
      <c r="G630">
        <v>11425.34</v>
      </c>
      <c r="H630" t="s">
        <v>28</v>
      </c>
      <c r="I630">
        <f>Table1[[#This Row],[Qty]]*Table1[[#This Row],[Unit_Price]]</f>
        <v>34276.020000000004</v>
      </c>
    </row>
    <row r="631" spans="1:9" x14ac:dyDescent="0.25">
      <c r="A631">
        <v>10630</v>
      </c>
      <c r="B631" s="1">
        <v>45718</v>
      </c>
      <c r="C631" t="s">
        <v>15</v>
      </c>
      <c r="D631" t="s">
        <v>32</v>
      </c>
      <c r="E631" t="s">
        <v>11</v>
      </c>
      <c r="F631">
        <v>1</v>
      </c>
      <c r="G631">
        <v>2683.2</v>
      </c>
      <c r="H631" t="s">
        <v>14</v>
      </c>
      <c r="I631">
        <f>Table1[[#This Row],[Qty]]*Table1[[#This Row],[Unit_Price]]</f>
        <v>2683.2</v>
      </c>
    </row>
    <row r="632" spans="1:9" x14ac:dyDescent="0.25">
      <c r="A632">
        <v>10631</v>
      </c>
      <c r="B632" s="1">
        <v>45899</v>
      </c>
      <c r="C632" t="s">
        <v>25</v>
      </c>
      <c r="D632" t="s">
        <v>17</v>
      </c>
      <c r="E632" t="s">
        <v>11</v>
      </c>
      <c r="F632">
        <v>5</v>
      </c>
      <c r="G632">
        <v>11087.56</v>
      </c>
      <c r="H632" t="s">
        <v>28</v>
      </c>
      <c r="I632">
        <f>Table1[[#This Row],[Qty]]*Table1[[#This Row],[Unit_Price]]</f>
        <v>55437.799999999996</v>
      </c>
    </row>
    <row r="633" spans="1:9" x14ac:dyDescent="0.25">
      <c r="A633">
        <v>10632</v>
      </c>
      <c r="B633" s="1">
        <v>45929</v>
      </c>
      <c r="C633" t="s">
        <v>19</v>
      </c>
      <c r="D633" t="s">
        <v>23</v>
      </c>
      <c r="E633" t="s">
        <v>24</v>
      </c>
      <c r="F633">
        <v>4</v>
      </c>
      <c r="G633">
        <v>6375.69</v>
      </c>
      <c r="H633" t="s">
        <v>12</v>
      </c>
      <c r="I633">
        <f>Table1[[#This Row],[Qty]]*Table1[[#This Row],[Unit_Price]]</f>
        <v>25502.76</v>
      </c>
    </row>
    <row r="634" spans="1:9" x14ac:dyDescent="0.25">
      <c r="A634">
        <v>10633</v>
      </c>
      <c r="B634" s="1">
        <v>45760</v>
      </c>
      <c r="C634" t="s">
        <v>16</v>
      </c>
      <c r="D634" t="s">
        <v>27</v>
      </c>
      <c r="E634" t="s">
        <v>24</v>
      </c>
      <c r="F634">
        <v>4</v>
      </c>
      <c r="G634">
        <v>13169.26</v>
      </c>
      <c r="H634" t="s">
        <v>12</v>
      </c>
      <c r="I634">
        <f>Table1[[#This Row],[Qty]]*Table1[[#This Row],[Unit_Price]]</f>
        <v>52677.04</v>
      </c>
    </row>
    <row r="635" spans="1:9" x14ac:dyDescent="0.25">
      <c r="A635">
        <v>10634</v>
      </c>
      <c r="B635" s="1">
        <v>45819</v>
      </c>
      <c r="C635" t="s">
        <v>25</v>
      </c>
      <c r="D635" t="s">
        <v>20</v>
      </c>
      <c r="E635" t="s">
        <v>11</v>
      </c>
      <c r="F635">
        <v>1</v>
      </c>
      <c r="G635">
        <v>1496.27</v>
      </c>
      <c r="H635" t="s">
        <v>12</v>
      </c>
      <c r="I635">
        <f>Table1[[#This Row],[Qty]]*Table1[[#This Row],[Unit_Price]]</f>
        <v>1496.27</v>
      </c>
    </row>
    <row r="636" spans="1:9" x14ac:dyDescent="0.25">
      <c r="A636">
        <v>10635</v>
      </c>
      <c r="B636" s="1">
        <v>45818</v>
      </c>
      <c r="C636" t="s">
        <v>9</v>
      </c>
      <c r="D636" t="s">
        <v>30</v>
      </c>
      <c r="E636" t="s">
        <v>11</v>
      </c>
      <c r="F636">
        <v>1</v>
      </c>
      <c r="G636">
        <v>49520.53</v>
      </c>
      <c r="H636" t="s">
        <v>12</v>
      </c>
      <c r="I636">
        <f>Table1[[#This Row],[Qty]]*Table1[[#This Row],[Unit_Price]]</f>
        <v>49520.53</v>
      </c>
    </row>
    <row r="637" spans="1:9" x14ac:dyDescent="0.25">
      <c r="A637">
        <v>10636</v>
      </c>
      <c r="B637" s="1">
        <v>45953</v>
      </c>
      <c r="C637" t="s">
        <v>29</v>
      </c>
      <c r="D637" t="s">
        <v>20</v>
      </c>
      <c r="E637" t="s">
        <v>11</v>
      </c>
      <c r="F637">
        <v>4</v>
      </c>
      <c r="G637">
        <v>1585.56</v>
      </c>
      <c r="H637" t="s">
        <v>12</v>
      </c>
      <c r="I637">
        <f>Table1[[#This Row],[Qty]]*Table1[[#This Row],[Unit_Price]]</f>
        <v>6342.24</v>
      </c>
    </row>
    <row r="638" spans="1:9" x14ac:dyDescent="0.25">
      <c r="A638">
        <v>10637</v>
      </c>
      <c r="B638" s="1">
        <v>45972</v>
      </c>
      <c r="C638" t="s">
        <v>16</v>
      </c>
      <c r="D638" t="s">
        <v>31</v>
      </c>
      <c r="E638" t="s">
        <v>11</v>
      </c>
      <c r="F638">
        <v>4</v>
      </c>
      <c r="G638">
        <v>8826.11</v>
      </c>
      <c r="H638" t="s">
        <v>28</v>
      </c>
      <c r="I638">
        <f>Table1[[#This Row],[Qty]]*Table1[[#This Row],[Unit_Price]]</f>
        <v>35304.44</v>
      </c>
    </row>
    <row r="639" spans="1:9" x14ac:dyDescent="0.25">
      <c r="A639">
        <v>10638</v>
      </c>
      <c r="B639" s="1">
        <v>45660</v>
      </c>
      <c r="C639" t="s">
        <v>21</v>
      </c>
      <c r="D639" t="s">
        <v>30</v>
      </c>
      <c r="E639" t="s">
        <v>11</v>
      </c>
      <c r="F639">
        <v>5</v>
      </c>
      <c r="G639">
        <v>46994.14</v>
      </c>
      <c r="H639" t="s">
        <v>14</v>
      </c>
      <c r="I639">
        <f>Table1[[#This Row],[Qty]]*Table1[[#This Row],[Unit_Price]]</f>
        <v>234970.7</v>
      </c>
    </row>
    <row r="640" spans="1:9" x14ac:dyDescent="0.25">
      <c r="A640">
        <v>10639</v>
      </c>
      <c r="B640" s="1">
        <v>45822</v>
      </c>
      <c r="C640" t="s">
        <v>25</v>
      </c>
      <c r="D640" t="s">
        <v>17</v>
      </c>
      <c r="E640" t="s">
        <v>11</v>
      </c>
      <c r="F640">
        <v>1</v>
      </c>
      <c r="G640">
        <v>12424.2</v>
      </c>
      <c r="H640" t="s">
        <v>12</v>
      </c>
      <c r="I640">
        <f>Table1[[#This Row],[Qty]]*Table1[[#This Row],[Unit_Price]]</f>
        <v>12424.2</v>
      </c>
    </row>
    <row r="641" spans="1:9" x14ac:dyDescent="0.25">
      <c r="A641">
        <v>10640</v>
      </c>
      <c r="B641" s="1">
        <v>45773</v>
      </c>
      <c r="C641" t="s">
        <v>13</v>
      </c>
      <c r="D641" t="s">
        <v>27</v>
      </c>
      <c r="E641" t="s">
        <v>24</v>
      </c>
      <c r="F641">
        <v>3</v>
      </c>
      <c r="G641">
        <v>11109.43</v>
      </c>
      <c r="H641" t="s">
        <v>18</v>
      </c>
      <c r="I641">
        <f>Table1[[#This Row],[Qty]]*Table1[[#This Row],[Unit_Price]]</f>
        <v>33328.29</v>
      </c>
    </row>
    <row r="642" spans="1:9" x14ac:dyDescent="0.25">
      <c r="A642">
        <v>10641</v>
      </c>
      <c r="B642" s="1">
        <v>45743</v>
      </c>
      <c r="C642" t="s">
        <v>26</v>
      </c>
      <c r="D642" t="s">
        <v>10</v>
      </c>
      <c r="E642" t="s">
        <v>11</v>
      </c>
      <c r="F642">
        <v>1</v>
      </c>
      <c r="G642">
        <v>479.82</v>
      </c>
      <c r="H642" t="s">
        <v>28</v>
      </c>
      <c r="I642">
        <f>Table1[[#This Row],[Qty]]*Table1[[#This Row],[Unit_Price]]</f>
        <v>479.82</v>
      </c>
    </row>
    <row r="643" spans="1:9" x14ac:dyDescent="0.25">
      <c r="A643">
        <v>10642</v>
      </c>
      <c r="B643" s="1">
        <v>45924</v>
      </c>
      <c r="C643" t="s">
        <v>19</v>
      </c>
      <c r="D643" t="s">
        <v>27</v>
      </c>
      <c r="E643" t="s">
        <v>24</v>
      </c>
      <c r="F643">
        <v>4</v>
      </c>
      <c r="G643">
        <v>12931.14</v>
      </c>
      <c r="H643" t="s">
        <v>18</v>
      </c>
      <c r="I643">
        <f>Table1[[#This Row],[Qty]]*Table1[[#This Row],[Unit_Price]]</f>
        <v>51724.56</v>
      </c>
    </row>
    <row r="644" spans="1:9" x14ac:dyDescent="0.25">
      <c r="A644">
        <v>10643</v>
      </c>
      <c r="B644" s="1">
        <v>45908</v>
      </c>
      <c r="C644" t="s">
        <v>13</v>
      </c>
      <c r="D644" t="s">
        <v>27</v>
      </c>
      <c r="E644" t="s">
        <v>24</v>
      </c>
      <c r="F644">
        <v>2</v>
      </c>
      <c r="G644">
        <v>11195.72</v>
      </c>
      <c r="H644" t="s">
        <v>14</v>
      </c>
      <c r="I644">
        <f>Table1[[#This Row],[Qty]]*Table1[[#This Row],[Unit_Price]]</f>
        <v>22391.439999999999</v>
      </c>
    </row>
    <row r="645" spans="1:9" x14ac:dyDescent="0.25">
      <c r="A645">
        <v>10644</v>
      </c>
      <c r="B645" s="1">
        <v>45774</v>
      </c>
      <c r="C645" t="s">
        <v>33</v>
      </c>
      <c r="D645" t="s">
        <v>17</v>
      </c>
      <c r="E645" t="s">
        <v>11</v>
      </c>
      <c r="F645">
        <v>2</v>
      </c>
      <c r="G645">
        <v>11306.86</v>
      </c>
      <c r="H645" t="s">
        <v>12</v>
      </c>
      <c r="I645">
        <f>Table1[[#This Row],[Qty]]*Table1[[#This Row],[Unit_Price]]</f>
        <v>22613.72</v>
      </c>
    </row>
    <row r="646" spans="1:9" x14ac:dyDescent="0.25">
      <c r="A646">
        <v>10645</v>
      </c>
      <c r="B646" s="1">
        <v>45721</v>
      </c>
      <c r="C646" t="s">
        <v>25</v>
      </c>
      <c r="D646" t="s">
        <v>27</v>
      </c>
      <c r="E646" t="s">
        <v>24</v>
      </c>
      <c r="F646">
        <v>1</v>
      </c>
      <c r="G646">
        <v>11700.46</v>
      </c>
      <c r="H646" t="s">
        <v>18</v>
      </c>
      <c r="I646">
        <f>Table1[[#This Row],[Qty]]*Table1[[#This Row],[Unit_Price]]</f>
        <v>11700.46</v>
      </c>
    </row>
    <row r="647" spans="1:9" x14ac:dyDescent="0.25">
      <c r="A647">
        <v>10646</v>
      </c>
      <c r="B647" s="1">
        <v>45931</v>
      </c>
      <c r="C647" t="s">
        <v>25</v>
      </c>
      <c r="D647" t="s">
        <v>30</v>
      </c>
      <c r="E647" t="s">
        <v>11</v>
      </c>
      <c r="F647">
        <v>5</v>
      </c>
      <c r="G647">
        <v>54946.8</v>
      </c>
      <c r="H647" t="s">
        <v>14</v>
      </c>
      <c r="I647">
        <f>Table1[[#This Row],[Qty]]*Table1[[#This Row],[Unit_Price]]</f>
        <v>274734</v>
      </c>
    </row>
    <row r="648" spans="1:9" x14ac:dyDescent="0.25">
      <c r="A648">
        <v>10647</v>
      </c>
      <c r="B648" s="1">
        <v>45992</v>
      </c>
      <c r="C648" t="s">
        <v>13</v>
      </c>
      <c r="D648" t="s">
        <v>30</v>
      </c>
      <c r="E648" t="s">
        <v>11</v>
      </c>
      <c r="F648">
        <v>1</v>
      </c>
      <c r="G648">
        <v>51897.5</v>
      </c>
      <c r="H648" t="s">
        <v>28</v>
      </c>
      <c r="I648">
        <f>Table1[[#This Row],[Qty]]*Table1[[#This Row],[Unit_Price]]</f>
        <v>51897.5</v>
      </c>
    </row>
    <row r="649" spans="1:9" x14ac:dyDescent="0.25">
      <c r="A649">
        <v>10648</v>
      </c>
      <c r="B649" s="1">
        <v>45852</v>
      </c>
      <c r="C649" t="s">
        <v>34</v>
      </c>
      <c r="D649" t="s">
        <v>10</v>
      </c>
      <c r="E649" t="s">
        <v>11</v>
      </c>
      <c r="F649">
        <v>5</v>
      </c>
      <c r="G649">
        <v>475.27</v>
      </c>
      <c r="H649" t="s">
        <v>12</v>
      </c>
      <c r="I649">
        <f>Table1[[#This Row],[Qty]]*Table1[[#This Row],[Unit_Price]]</f>
        <v>2376.35</v>
      </c>
    </row>
    <row r="650" spans="1:9" x14ac:dyDescent="0.25">
      <c r="A650">
        <v>10649</v>
      </c>
      <c r="B650" s="1">
        <v>45763</v>
      </c>
      <c r="C650" t="s">
        <v>29</v>
      </c>
      <c r="D650" t="s">
        <v>30</v>
      </c>
      <c r="E650" t="s">
        <v>11</v>
      </c>
      <c r="F650">
        <v>3</v>
      </c>
      <c r="G650">
        <v>49208.71</v>
      </c>
      <c r="H650" t="s">
        <v>18</v>
      </c>
      <c r="I650">
        <f>Table1[[#This Row],[Qty]]*Table1[[#This Row],[Unit_Price]]</f>
        <v>147626.13</v>
      </c>
    </row>
    <row r="651" spans="1:9" x14ac:dyDescent="0.25">
      <c r="A651">
        <v>10650</v>
      </c>
      <c r="B651" s="1">
        <v>45976</v>
      </c>
      <c r="C651" t="s">
        <v>29</v>
      </c>
      <c r="D651" t="s">
        <v>20</v>
      </c>
      <c r="E651" t="s">
        <v>11</v>
      </c>
      <c r="F651">
        <v>4</v>
      </c>
      <c r="G651">
        <v>1599.2</v>
      </c>
      <c r="H651" t="s">
        <v>14</v>
      </c>
      <c r="I651">
        <f>Table1[[#This Row],[Qty]]*Table1[[#This Row],[Unit_Price]]</f>
        <v>6396.8</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C0DEEC-1A2A-4A9C-8E89-60BB33E333AA}">
  <dimension ref="A1:B20"/>
  <sheetViews>
    <sheetView topLeftCell="A3" workbookViewId="0">
      <selection activeCell="E23" sqref="E23"/>
    </sheetView>
  </sheetViews>
  <sheetFormatPr defaultRowHeight="15" x14ac:dyDescent="0.25"/>
  <cols>
    <col min="1" max="1" width="12.140625" bestFit="1" customWidth="1"/>
    <col min="2" max="2" width="14" bestFit="1" customWidth="1"/>
  </cols>
  <sheetData>
    <row r="1" spans="1:2" ht="9.75" customHeight="1" thickBot="1" x14ac:dyDescent="0.3"/>
    <row r="2" spans="1:2" ht="24.75" customHeight="1" x14ac:dyDescent="0.25">
      <c r="A2" s="18"/>
      <c r="B2" s="19"/>
    </row>
    <row r="3" spans="1:2" x14ac:dyDescent="0.25">
      <c r="A3" s="14"/>
      <c r="B3" s="15"/>
    </row>
    <row r="4" spans="1:2" x14ac:dyDescent="0.25">
      <c r="A4" s="14"/>
      <c r="B4" s="15"/>
    </row>
    <row r="5" spans="1:2" x14ac:dyDescent="0.25">
      <c r="A5" s="14"/>
      <c r="B5" s="15"/>
    </row>
    <row r="6" spans="1:2" x14ac:dyDescent="0.25">
      <c r="A6" s="14">
        <f>B17</f>
        <v>1855463.5100000002</v>
      </c>
      <c r="B6" s="15"/>
    </row>
    <row r="7" spans="1:2" ht="15.75" thickBot="1" x14ac:dyDescent="0.3">
      <c r="A7" s="16"/>
      <c r="B7" s="17"/>
    </row>
    <row r="8" spans="1:2" x14ac:dyDescent="0.25">
      <c r="A8" s="2" t="s">
        <v>40</v>
      </c>
      <c r="B8" t="s">
        <v>39</v>
      </c>
    </row>
    <row r="9" spans="1:2" x14ac:dyDescent="0.25">
      <c r="A9" s="3" t="s">
        <v>30</v>
      </c>
      <c r="B9" s="20">
        <v>898637.80999999994</v>
      </c>
    </row>
    <row r="10" spans="1:2" x14ac:dyDescent="0.25">
      <c r="A10" s="3" t="s">
        <v>17</v>
      </c>
      <c r="B10" s="20">
        <v>271182.12</v>
      </c>
    </row>
    <row r="11" spans="1:2" x14ac:dyDescent="0.25">
      <c r="A11" s="3" t="s">
        <v>27</v>
      </c>
      <c r="B11" s="20">
        <v>258272.78999999998</v>
      </c>
    </row>
    <row r="12" spans="1:2" x14ac:dyDescent="0.25">
      <c r="A12" s="3" t="s">
        <v>31</v>
      </c>
      <c r="B12" s="20">
        <v>246520.36</v>
      </c>
    </row>
    <row r="13" spans="1:2" x14ac:dyDescent="0.25">
      <c r="A13" s="3" t="s">
        <v>23</v>
      </c>
      <c r="B13" s="20">
        <v>103849.86000000002</v>
      </c>
    </row>
    <row r="14" spans="1:2" x14ac:dyDescent="0.25">
      <c r="A14" s="3" t="s">
        <v>20</v>
      </c>
      <c r="B14" s="20">
        <v>45340.78</v>
      </c>
    </row>
    <row r="15" spans="1:2" x14ac:dyDescent="0.25">
      <c r="A15" s="3" t="s">
        <v>32</v>
      </c>
      <c r="B15" s="20">
        <v>26393.43</v>
      </c>
    </row>
    <row r="16" spans="1:2" x14ac:dyDescent="0.25">
      <c r="A16" s="3" t="s">
        <v>10</v>
      </c>
      <c r="B16" s="20">
        <v>5266.36</v>
      </c>
    </row>
    <row r="17" spans="1:2" x14ac:dyDescent="0.25">
      <c r="A17" s="3" t="s">
        <v>36</v>
      </c>
      <c r="B17" s="20">
        <v>1855463.5100000002</v>
      </c>
    </row>
    <row r="18" spans="1:2" x14ac:dyDescent="0.25">
      <c r="B18" s="13"/>
    </row>
    <row r="19" spans="1:2" x14ac:dyDescent="0.25">
      <c r="B19" s="13"/>
    </row>
    <row r="20" spans="1:2" x14ac:dyDescent="0.25">
      <c r="B20" s="13"/>
    </row>
  </sheetData>
  <mergeCells count="4">
    <mergeCell ref="B18:B20"/>
    <mergeCell ref="A6:B7"/>
    <mergeCell ref="A3:B5"/>
    <mergeCell ref="A2:B2"/>
  </mergeCells>
  <pageMargins left="0.7" right="0.7" top="0.75" bottom="0.75" header="0.3" footer="0.3"/>
  <drawing r:id="rId2"/>
  <extLst>
    <ext xmlns:x14="http://schemas.microsoft.com/office/spreadsheetml/2009/9/main" uri="{05C60535-1F16-4fd2-B633-F4F36F0B64E0}">
      <x14:sparklineGroups xmlns:xm="http://schemas.microsoft.com/office/excel/2006/main">
        <x14:sparklineGroup type="column" displayEmptyCellsAs="gap" xr2:uid="{605ECE91-E03C-4DB2-8FBD-E376E47857E9}">
          <x14:colorSeries rgb="FF376092"/>
          <x14:colorNegative rgb="FFD00000"/>
          <x14:colorAxis rgb="FF000000"/>
          <x14:colorMarkers rgb="FFD00000"/>
          <x14:colorFirst rgb="FFD00000"/>
          <x14:colorLast rgb="FFD00000"/>
          <x14:colorHigh rgb="FFD00000"/>
          <x14:colorLow rgb="FFD00000"/>
          <x14:sparklines>
            <x14:sparkline>
              <xm:f>pwr!B9:B16</xm:f>
              <xm:sqref>B18</xm:sqref>
            </x14:sparkline>
          </x14:sparklines>
        </x14:sparklineGroup>
      </x14:sparklineGroups>
    </ex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4B7BEE-88FA-4A65-826B-68330C6708D7}">
  <dimension ref="A3:B5"/>
  <sheetViews>
    <sheetView workbookViewId="0">
      <selection activeCell="L19" sqref="L19"/>
    </sheetView>
  </sheetViews>
  <sheetFormatPr defaultRowHeight="15" x14ac:dyDescent="0.25"/>
  <cols>
    <col min="1" max="1" width="13.42578125" bestFit="1" customWidth="1"/>
    <col min="2" max="2" width="20.7109375" bestFit="1" customWidth="1"/>
  </cols>
  <sheetData>
    <row r="3" spans="1:2" x14ac:dyDescent="0.25">
      <c r="A3" s="2" t="s">
        <v>37</v>
      </c>
      <c r="B3" t="s">
        <v>35</v>
      </c>
    </row>
    <row r="4" spans="1:2" x14ac:dyDescent="0.25">
      <c r="A4" s="3" t="s">
        <v>38</v>
      </c>
      <c r="B4" s="20">
        <v>1855463.5099999995</v>
      </c>
    </row>
    <row r="5" spans="1:2" x14ac:dyDescent="0.25">
      <c r="A5" s="3" t="s">
        <v>36</v>
      </c>
      <c r="B5" s="20">
        <v>1855463.5099999995</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2A737C-747D-4727-BEA5-CBDB2E1FFB56}">
  <dimension ref="A3:B8"/>
  <sheetViews>
    <sheetView workbookViewId="0">
      <selection activeCell="B10" sqref="B10"/>
    </sheetView>
  </sheetViews>
  <sheetFormatPr defaultRowHeight="15" x14ac:dyDescent="0.25"/>
  <cols>
    <col min="1" max="1" width="13.42578125" bestFit="1" customWidth="1"/>
    <col min="2" max="2" width="20.7109375" bestFit="1" customWidth="1"/>
  </cols>
  <sheetData>
    <row r="3" spans="1:2" x14ac:dyDescent="0.25">
      <c r="A3" s="2" t="s">
        <v>37</v>
      </c>
      <c r="B3" t="s">
        <v>35</v>
      </c>
    </row>
    <row r="4" spans="1:2" x14ac:dyDescent="0.25">
      <c r="A4" s="3" t="s">
        <v>18</v>
      </c>
      <c r="B4" s="20">
        <v>583943.5</v>
      </c>
    </row>
    <row r="5" spans="1:2" x14ac:dyDescent="0.25">
      <c r="A5" s="3" t="s">
        <v>14</v>
      </c>
      <c r="B5" s="20">
        <v>498019.81000000006</v>
      </c>
    </row>
    <row r="6" spans="1:2" x14ac:dyDescent="0.25">
      <c r="A6" s="3" t="s">
        <v>12</v>
      </c>
      <c r="B6" s="20">
        <v>277780.36</v>
      </c>
    </row>
    <row r="7" spans="1:2" x14ac:dyDescent="0.25">
      <c r="A7" s="3" t="s">
        <v>28</v>
      </c>
      <c r="B7" s="20">
        <v>495719.83999999997</v>
      </c>
    </row>
    <row r="8" spans="1:2" x14ac:dyDescent="0.25">
      <c r="A8" s="3" t="s">
        <v>36</v>
      </c>
      <c r="B8" s="20">
        <v>1855463.5099999998</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6D10C8-E2C6-4DC6-9E64-0278EDFE61D0}">
  <dimension ref="A3:B6"/>
  <sheetViews>
    <sheetView workbookViewId="0">
      <selection activeCell="B4" sqref="B4"/>
    </sheetView>
  </sheetViews>
  <sheetFormatPr defaultRowHeight="15" x14ac:dyDescent="0.25"/>
  <cols>
    <col min="1" max="1" width="13.42578125" bestFit="1" customWidth="1"/>
    <col min="2" max="2" width="20.7109375" bestFit="1" customWidth="1"/>
  </cols>
  <sheetData>
    <row r="3" spans="1:2" x14ac:dyDescent="0.25">
      <c r="A3" s="2" t="s">
        <v>37</v>
      </c>
      <c r="B3" t="s">
        <v>35</v>
      </c>
    </row>
    <row r="4" spans="1:2" x14ac:dyDescent="0.25">
      <c r="A4" s="3" t="s">
        <v>11</v>
      </c>
      <c r="B4" s="20">
        <v>1493340.8599999999</v>
      </c>
    </row>
    <row r="5" spans="1:2" x14ac:dyDescent="0.25">
      <c r="A5" s="3" t="s">
        <v>24</v>
      </c>
      <c r="B5" s="20">
        <v>362122.65</v>
      </c>
    </row>
    <row r="6" spans="1:2" x14ac:dyDescent="0.25">
      <c r="A6" s="3" t="s">
        <v>36</v>
      </c>
      <c r="B6" s="20">
        <v>1855463.5099999998</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B0FE4A-BE75-4365-A7D4-B3330ED57FFA}">
  <dimension ref="A3:B16"/>
  <sheetViews>
    <sheetView workbookViewId="0">
      <selection activeCell="B10" sqref="B10"/>
    </sheetView>
  </sheetViews>
  <sheetFormatPr defaultRowHeight="15" x14ac:dyDescent="0.25"/>
  <cols>
    <col min="1" max="1" width="13.42578125" bestFit="1" customWidth="1"/>
    <col min="2" max="2" width="20.7109375" bestFit="1" customWidth="1"/>
  </cols>
  <sheetData>
    <row r="3" spans="1:2" x14ac:dyDescent="0.25">
      <c r="A3" s="2" t="s">
        <v>37</v>
      </c>
      <c r="B3" t="s">
        <v>35</v>
      </c>
    </row>
    <row r="4" spans="1:2" x14ac:dyDescent="0.25">
      <c r="A4" s="3" t="s">
        <v>22</v>
      </c>
      <c r="B4" s="20">
        <v>372542.00999999995</v>
      </c>
    </row>
    <row r="5" spans="1:2" x14ac:dyDescent="0.25">
      <c r="A5" s="3" t="s">
        <v>29</v>
      </c>
      <c r="B5" s="20">
        <v>276306.38</v>
      </c>
    </row>
    <row r="6" spans="1:2" x14ac:dyDescent="0.25">
      <c r="A6" s="3" t="s">
        <v>25</v>
      </c>
      <c r="B6" s="20">
        <v>261102.72999999998</v>
      </c>
    </row>
    <row r="7" spans="1:2" x14ac:dyDescent="0.25">
      <c r="A7" s="3" t="s">
        <v>21</v>
      </c>
      <c r="B7" s="20">
        <v>246474.78</v>
      </c>
    </row>
    <row r="8" spans="1:2" x14ac:dyDescent="0.25">
      <c r="A8" s="3" t="s">
        <v>13</v>
      </c>
      <c r="B8" s="20">
        <v>213468.94</v>
      </c>
    </row>
    <row r="9" spans="1:2" x14ac:dyDescent="0.25">
      <c r="A9" s="3" t="s">
        <v>15</v>
      </c>
      <c r="B9" s="20">
        <v>134558.93</v>
      </c>
    </row>
    <row r="10" spans="1:2" x14ac:dyDescent="0.25">
      <c r="A10" s="3" t="s">
        <v>19</v>
      </c>
      <c r="B10" s="20">
        <v>121730.48999999999</v>
      </c>
    </row>
    <row r="11" spans="1:2" x14ac:dyDescent="0.25">
      <c r="A11" s="3" t="s">
        <v>9</v>
      </c>
      <c r="B11" s="20">
        <v>84119.360000000001</v>
      </c>
    </row>
    <row r="12" spans="1:2" x14ac:dyDescent="0.25">
      <c r="A12" s="3" t="s">
        <v>33</v>
      </c>
      <c r="B12" s="20">
        <v>79514.210000000006</v>
      </c>
    </row>
    <row r="13" spans="1:2" x14ac:dyDescent="0.25">
      <c r="A13" s="3" t="s">
        <v>16</v>
      </c>
      <c r="B13" s="20">
        <v>32108.020000000004</v>
      </c>
    </row>
    <row r="14" spans="1:2" x14ac:dyDescent="0.25">
      <c r="A14" s="3" t="s">
        <v>26</v>
      </c>
      <c r="B14" s="20">
        <v>22999.66</v>
      </c>
    </row>
    <row r="15" spans="1:2" x14ac:dyDescent="0.25">
      <c r="A15" s="3" t="s">
        <v>34</v>
      </c>
      <c r="B15" s="20">
        <v>10538</v>
      </c>
    </row>
    <row r="16" spans="1:2" x14ac:dyDescent="0.25">
      <c r="A16" s="3" t="s">
        <v>36</v>
      </c>
      <c r="B16" s="20">
        <v>1855463.5099999998</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52F2B9-EE2A-4329-89EF-56ECE0EDEE25}">
  <dimension ref="A1:V32"/>
  <sheetViews>
    <sheetView tabSelected="1" zoomScaleNormal="100" workbookViewId="0"/>
  </sheetViews>
  <sheetFormatPr defaultRowHeight="15" x14ac:dyDescent="0.25"/>
  <cols>
    <col min="1" max="16" width="9.140625" style="4"/>
    <col min="17" max="17" width="10.42578125" style="4" customWidth="1"/>
    <col min="18" max="18" width="10.28515625" style="4" customWidth="1"/>
    <col min="19" max="19" width="9.140625" style="4" customWidth="1"/>
    <col min="20" max="20" width="9.140625" style="4"/>
    <col min="21" max="21" width="4.140625" style="4" customWidth="1"/>
    <col min="22" max="16384" width="9.140625" style="4"/>
  </cols>
  <sheetData>
    <row r="1" spans="8:21" s="5" customFormat="1" ht="17.25" customHeight="1" thickBot="1" x14ac:dyDescent="0.3">
      <c r="H1" s="8" t="s">
        <v>39</v>
      </c>
      <c r="I1" s="8"/>
      <c r="J1" s="21"/>
      <c r="K1" s="8" t="s">
        <v>41</v>
      </c>
      <c r="L1" s="8"/>
      <c r="M1" s="21"/>
      <c r="N1" s="8" t="s">
        <v>42</v>
      </c>
      <c r="O1" s="8"/>
      <c r="P1" s="21"/>
      <c r="Q1" s="8" t="s">
        <v>43</v>
      </c>
      <c r="R1" s="8"/>
      <c r="S1" s="6"/>
      <c r="T1" s="6"/>
      <c r="U1" s="6"/>
    </row>
    <row r="2" spans="8:21" s="5" customFormat="1" ht="15.75" customHeight="1" x14ac:dyDescent="0.25">
      <c r="H2" s="9">
        <f>GETPIVOTDATA("Sales_Amount",pwr!$A$8)</f>
        <v>1855463.5100000002</v>
      </c>
      <c r="I2" s="10"/>
      <c r="J2" s="21"/>
      <c r="K2" s="9">
        <f>COUNT(data!A2:A651)</f>
        <v>650</v>
      </c>
      <c r="L2" s="10"/>
      <c r="M2" s="21"/>
      <c r="N2" s="9">
        <f>COUNTA(_xlfn.UNIQUE(data!C2:C651))</f>
        <v>12</v>
      </c>
      <c r="O2" s="10"/>
      <c r="P2" s="21"/>
      <c r="Q2" s="9">
        <f>AVERAGE(data!I2:I651)</f>
        <v>34634.772461538458</v>
      </c>
      <c r="R2" s="10"/>
      <c r="S2" s="7"/>
      <c r="T2" s="6"/>
      <c r="U2" s="6"/>
    </row>
    <row r="3" spans="8:21" s="5" customFormat="1" ht="10.5" customHeight="1" thickBot="1" x14ac:dyDescent="0.3">
      <c r="H3" s="11"/>
      <c r="I3" s="12"/>
      <c r="J3" s="21"/>
      <c r="K3" s="11"/>
      <c r="L3" s="12"/>
      <c r="M3" s="21"/>
      <c r="N3" s="11"/>
      <c r="O3" s="12"/>
      <c r="P3" s="21"/>
      <c r="Q3" s="11"/>
      <c r="R3" s="12"/>
      <c r="S3" s="7"/>
      <c r="T3" s="6"/>
      <c r="U3" s="6"/>
    </row>
    <row r="25" spans="1:22" ht="15.75" thickBot="1" x14ac:dyDescent="0.3"/>
    <row r="26" spans="1:22" ht="9" customHeight="1" x14ac:dyDescent="0.25">
      <c r="A26" s="24" t="s">
        <v>44</v>
      </c>
      <c r="B26" s="25"/>
      <c r="C26" s="25"/>
      <c r="D26" s="25"/>
      <c r="E26" s="25"/>
      <c r="F26" s="25"/>
      <c r="G26" s="25"/>
      <c r="H26" s="25"/>
      <c r="I26" s="25"/>
      <c r="J26" s="25"/>
      <c r="K26" s="25"/>
      <c r="L26" s="25"/>
      <c r="M26" s="25"/>
      <c r="N26" s="25"/>
      <c r="O26" s="25"/>
      <c r="P26" s="25"/>
      <c r="Q26" s="25"/>
      <c r="R26" s="25"/>
      <c r="S26" s="25"/>
      <c r="T26" s="25"/>
      <c r="U26" s="25"/>
      <c r="V26" s="26"/>
    </row>
    <row r="27" spans="1:22" x14ac:dyDescent="0.25">
      <c r="A27" s="27"/>
      <c r="B27" s="28"/>
      <c r="C27" s="28"/>
      <c r="D27" s="28"/>
      <c r="E27" s="28"/>
      <c r="F27" s="28"/>
      <c r="G27" s="28"/>
      <c r="H27" s="28"/>
      <c r="I27" s="28"/>
      <c r="J27" s="28"/>
      <c r="K27" s="28"/>
      <c r="L27" s="28"/>
      <c r="M27" s="28"/>
      <c r="N27" s="28"/>
      <c r="O27" s="28"/>
      <c r="P27" s="28"/>
      <c r="Q27" s="28"/>
      <c r="R27" s="28"/>
      <c r="S27" s="28"/>
      <c r="T27" s="28"/>
      <c r="U27" s="28"/>
      <c r="V27" s="29"/>
    </row>
    <row r="28" spans="1:22" ht="15.75" thickBot="1" x14ac:dyDescent="0.3">
      <c r="A28" s="30"/>
      <c r="B28" s="31"/>
      <c r="C28" s="31"/>
      <c r="D28" s="31"/>
      <c r="E28" s="31"/>
      <c r="F28" s="31"/>
      <c r="G28" s="31"/>
      <c r="H28" s="31"/>
      <c r="I28" s="31"/>
      <c r="J28" s="31"/>
      <c r="K28" s="31"/>
      <c r="L28" s="31"/>
      <c r="M28" s="31"/>
      <c r="N28" s="31"/>
      <c r="O28" s="31"/>
      <c r="P28" s="31"/>
      <c r="Q28" s="31"/>
      <c r="R28" s="31"/>
      <c r="S28" s="31"/>
      <c r="T28" s="31"/>
      <c r="U28" s="31"/>
      <c r="V28" s="32"/>
    </row>
    <row r="31" spans="1:22" ht="15.75" thickBot="1" x14ac:dyDescent="0.3">
      <c r="A31" s="23" t="s">
        <v>45</v>
      </c>
      <c r="B31" s="23"/>
      <c r="C31" s="23"/>
      <c r="D31" s="23"/>
      <c r="E31" s="23"/>
      <c r="F31" s="23"/>
      <c r="G31" s="23"/>
      <c r="H31" s="23"/>
      <c r="I31" s="23"/>
      <c r="J31" s="23"/>
      <c r="K31" s="23"/>
      <c r="L31" s="23"/>
      <c r="M31" s="23"/>
      <c r="N31" s="23"/>
      <c r="O31" s="23"/>
      <c r="P31" s="23"/>
      <c r="Q31" s="23"/>
      <c r="R31" s="23"/>
      <c r="S31" s="23"/>
      <c r="T31" s="23"/>
      <c r="U31" s="23"/>
      <c r="V31" s="23"/>
    </row>
    <row r="32" spans="1:22" ht="15.75" thickBot="1" x14ac:dyDescent="0.3">
      <c r="A32" s="22"/>
      <c r="B32" s="22"/>
      <c r="C32" s="22"/>
      <c r="D32" s="22"/>
      <c r="E32" s="22"/>
      <c r="F32" s="22"/>
      <c r="G32" s="22"/>
      <c r="H32" s="22"/>
      <c r="I32" s="22"/>
      <c r="J32" s="22"/>
      <c r="K32" s="22"/>
      <c r="L32" s="22"/>
      <c r="M32" s="22"/>
      <c r="N32" s="22"/>
      <c r="O32" s="22"/>
      <c r="P32" s="22"/>
      <c r="Q32" s="22"/>
      <c r="R32" s="22"/>
      <c r="S32" s="22"/>
      <c r="T32" s="22"/>
      <c r="U32" s="22"/>
      <c r="V32" s="22"/>
    </row>
  </sheetData>
  <mergeCells count="15">
    <mergeCell ref="A26:V28"/>
    <mergeCell ref="A31:V31"/>
    <mergeCell ref="A32:V32"/>
    <mergeCell ref="S1:U3"/>
    <mergeCell ref="H1:I1"/>
    <mergeCell ref="H2:I3"/>
    <mergeCell ref="K1:L1"/>
    <mergeCell ref="N1:O1"/>
    <mergeCell ref="Q1:R1"/>
    <mergeCell ref="Q2:R3"/>
    <mergeCell ref="N2:O3"/>
    <mergeCell ref="K2:L3"/>
    <mergeCell ref="J1:J3"/>
    <mergeCell ref="M1:M3"/>
    <mergeCell ref="P1:P3"/>
  </mergeCells>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data</vt:lpstr>
      <vt:lpstr>pwr</vt:lpstr>
      <vt:lpstr>mwr</vt:lpstr>
      <vt:lpstr>rwr</vt:lpstr>
      <vt:lpstr>catwr</vt:lpstr>
      <vt:lpstr>cwr</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pragya shandilya</dc:creator>
  <cp:lastModifiedBy>pragya shandilya</cp:lastModifiedBy>
  <dcterms:created xsi:type="dcterms:W3CDTF">2026-06-17T10:48:47Z</dcterms:created>
  <dcterms:modified xsi:type="dcterms:W3CDTF">2026-06-20T16:46:48Z</dcterms:modified>
</cp:coreProperties>
</file>